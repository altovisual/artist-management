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2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3.xml" ContentType="application/vnd.openxmlformats-officedocument.drawing+xml"/>
  <Override PartName="/xl/tables/table19.xml" ContentType="application/vnd.openxmlformats-officedocument.spreadsheetml.table+xml"/>
  <Override PartName="/xl/drawings/drawing4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1f1ab8a66c676e/Desktop/Jose Cruz/BSRA/"/>
    </mc:Choice>
  </mc:AlternateContent>
  <xr:revisionPtr revIDLastSave="0" documentId="8_{B6B2DAD2-088C-4D0F-831E-F93B248DD00F}" xr6:coauthVersionLast="47" xr6:coauthVersionMax="47" xr10:uidLastSave="{00000000-0000-0000-0000-000000000000}"/>
  <bookViews>
    <workbookView xWindow="-120" yWindow="-120" windowWidth="29040" windowHeight="15720" tabRatio="860" activeTab="1" xr2:uid="{C48920CA-EF28-4D9F-A0A6-D82D4EB177D4}"/>
  </bookViews>
  <sheets>
    <sheet name="Base de datos" sheetId="1" r:id="rId1"/>
    <sheet name="MODELO" sheetId="14" r:id="rId2"/>
    <sheet name="Jeidi" sheetId="41" r:id="rId3"/>
    <sheet name="Cesa Dajoy" sheetId="40" r:id="rId4"/>
    <sheet name="ReneDaSilva" sheetId="39" r:id="rId5"/>
    <sheet name="Jaime Hospedales" sheetId="38" r:id="rId6"/>
    <sheet name="William Arteaga" sheetId="36" r:id="rId7"/>
    <sheet name="JayRozz" sheetId="35" r:id="rId8"/>
    <sheet name="Marval" sheetId="34" r:id="rId9"/>
    <sheet name="Dimelo Super" sheetId="33" r:id="rId10"/>
    <sheet name="Samuel Velazquez" sheetId="32" r:id="rId11"/>
    <sheet name="Alex Nuñez" sheetId="31" r:id="rId12"/>
    <sheet name="Divino" sheetId="30" r:id="rId13"/>
    <sheet name="LANALIZER" sheetId="28" r:id="rId14"/>
    <sheet name="SXNTHI" sheetId="27" r:id="rId15"/>
    <sheet name="GianBeat" sheetId="26" r:id="rId16"/>
    <sheet name="Carlos Manuel Jr. Agosto" sheetId="25" r:id="rId17"/>
    <sheet name="MozartMuzik" sheetId="9" r:id="rId18"/>
    <sheet name="HACHE" sheetId="11" r:id="rId19"/>
    <sheet name="Borngud" sheetId="12" r:id="rId20"/>
    <sheet name="Johan Strauss" sheetId="13" r:id="rId21"/>
    <sheet name="Dayan" sheetId="15" r:id="rId22"/>
    <sheet name="ErickAnt" sheetId="16" r:id="rId23"/>
    <sheet name="V1FRO" sheetId="18" r:id="rId24"/>
    <sheet name="ECBY" sheetId="19" r:id="rId25"/>
    <sheet name="Saint LL" sheetId="20" r:id="rId26"/>
    <sheet name="Cesar Da Gold" sheetId="23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0" i="41" l="1"/>
  <c r="P39" i="41"/>
  <c r="P40" i="41"/>
  <c r="P41" i="41" s="1"/>
  <c r="P42" i="41" s="1"/>
  <c r="P43" i="41" s="1"/>
  <c r="P44" i="41" s="1"/>
  <c r="P45" i="41" s="1"/>
  <c r="P46" i="41" s="1"/>
  <c r="P47" i="41" s="1"/>
  <c r="P48" i="41" s="1"/>
  <c r="P49" i="41" s="1"/>
  <c r="P50" i="41" s="1"/>
  <c r="P51" i="41" s="1"/>
  <c r="P52" i="41" s="1"/>
  <c r="P53" i="41" s="1"/>
  <c r="P54" i="41" s="1"/>
  <c r="P55" i="41" s="1"/>
  <c r="P56" i="41" s="1"/>
  <c r="P57" i="41" s="1"/>
  <c r="P58" i="41" s="1"/>
  <c r="P59" i="41" s="1"/>
  <c r="P60" i="41" s="1"/>
  <c r="P61" i="41" s="1"/>
  <c r="P62" i="41" s="1"/>
  <c r="P63" i="41" s="1"/>
  <c r="P64" i="41" s="1"/>
  <c r="P65" i="41" s="1"/>
  <c r="P66" i="41" s="1"/>
  <c r="P67" i="41" s="1"/>
  <c r="P68" i="41" s="1"/>
  <c r="P69" i="41" s="1"/>
  <c r="P70" i="41" s="1"/>
  <c r="P71" i="41" s="1"/>
  <c r="P72" i="41" s="1"/>
  <c r="P73" i="41" s="1"/>
  <c r="P74" i="41" s="1"/>
  <c r="P75" i="41" s="1"/>
  <c r="P76" i="41" s="1"/>
  <c r="P77" i="41" s="1"/>
  <c r="P78" i="41" s="1"/>
  <c r="P79" i="41" s="1"/>
  <c r="P38" i="41"/>
  <c r="O80" i="41"/>
  <c r="N80" i="41"/>
  <c r="M80" i="41"/>
  <c r="L80" i="41"/>
  <c r="K80" i="41"/>
  <c r="I80" i="41"/>
  <c r="H80" i="41"/>
  <c r="P9" i="41"/>
  <c r="P10" i="41" s="1"/>
  <c r="P11" i="41" s="1"/>
  <c r="P12" i="41" s="1"/>
  <c r="P13" i="41" s="1"/>
  <c r="P14" i="41" s="1"/>
  <c r="P15" i="41" s="1"/>
  <c r="P16" i="41" s="1"/>
  <c r="P17" i="41" s="1"/>
  <c r="P18" i="41" s="1"/>
  <c r="P19" i="41" s="1"/>
  <c r="P20" i="41" s="1"/>
  <c r="P21" i="41" s="1"/>
  <c r="P22" i="41" s="1"/>
  <c r="P23" i="41" s="1"/>
  <c r="P24" i="41" s="1"/>
  <c r="P25" i="41" s="1"/>
  <c r="P26" i="41" s="1"/>
  <c r="P27" i="41" s="1"/>
  <c r="P28" i="41" s="1"/>
  <c r="P29" i="41" s="1"/>
  <c r="P30" i="41" s="1"/>
  <c r="P31" i="41" s="1"/>
  <c r="P32" i="41" s="1"/>
  <c r="P33" i="41" s="1"/>
  <c r="P34" i="41" s="1"/>
  <c r="P35" i="41" s="1"/>
  <c r="P36" i="41" s="1"/>
  <c r="P37" i="41" s="1"/>
  <c r="E5" i="41"/>
  <c r="E4" i="41"/>
  <c r="N28" i="40"/>
  <c r="O28" i="40"/>
  <c r="M28" i="40"/>
  <c r="L28" i="40"/>
  <c r="K28" i="40"/>
  <c r="I28" i="40"/>
  <c r="H28" i="40"/>
  <c r="P9" i="40"/>
  <c r="P10" i="40" s="1"/>
  <c r="P11" i="40" s="1"/>
  <c r="P12" i="40" s="1"/>
  <c r="P13" i="40" s="1"/>
  <c r="P14" i="40" s="1"/>
  <c r="P15" i="40" s="1"/>
  <c r="E5" i="40"/>
  <c r="E4" i="40"/>
  <c r="O23" i="39"/>
  <c r="N23" i="39"/>
  <c r="M23" i="39"/>
  <c r="L23" i="39"/>
  <c r="K23" i="39"/>
  <c r="I23" i="39"/>
  <c r="H23" i="39"/>
  <c r="P9" i="39"/>
  <c r="P10" i="39" s="1"/>
  <c r="P11" i="39" s="1"/>
  <c r="P12" i="39" s="1"/>
  <c r="P13" i="39" s="1"/>
  <c r="P14" i="39" s="1"/>
  <c r="P15" i="39" s="1"/>
  <c r="P16" i="39" s="1"/>
  <c r="P17" i="39" s="1"/>
  <c r="P18" i="39" s="1"/>
  <c r="P19" i="39" s="1"/>
  <c r="P20" i="39" s="1"/>
  <c r="P21" i="39" s="1"/>
  <c r="P22" i="39" s="1"/>
  <c r="P23" i="39" s="1"/>
  <c r="E5" i="39"/>
  <c r="E4" i="39"/>
  <c r="P39" i="14"/>
  <c r="P38" i="14"/>
  <c r="P13" i="14"/>
  <c r="P14" i="14" s="1"/>
  <c r="P15" i="14" s="1"/>
  <c r="P16" i="14" s="1"/>
  <c r="P17" i="14" s="1"/>
  <c r="P18" i="14" s="1"/>
  <c r="P19" i="14" s="1"/>
  <c r="P20" i="14" s="1"/>
  <c r="P21" i="14" s="1"/>
  <c r="P22" i="14" s="1"/>
  <c r="P23" i="14" s="1"/>
  <c r="P24" i="14" s="1"/>
  <c r="P25" i="14" s="1"/>
  <c r="P26" i="14" s="1"/>
  <c r="P27" i="14" s="1"/>
  <c r="P28" i="14" s="1"/>
  <c r="P29" i="14" s="1"/>
  <c r="P30" i="14" s="1"/>
  <c r="P31" i="14" s="1"/>
  <c r="P32" i="14" s="1"/>
  <c r="P33" i="14" s="1"/>
  <c r="P34" i="14" s="1"/>
  <c r="P35" i="14" s="1"/>
  <c r="P36" i="14" s="1"/>
  <c r="P37" i="14" s="1"/>
  <c r="P14" i="38"/>
  <c r="O14" i="38"/>
  <c r="N14" i="38"/>
  <c r="M14" i="38"/>
  <c r="L14" i="38"/>
  <c r="K14" i="38"/>
  <c r="I14" i="38"/>
  <c r="H14" i="38"/>
  <c r="P10" i="38"/>
  <c r="P11" i="38" s="1"/>
  <c r="P12" i="38" s="1"/>
  <c r="P13" i="38" s="1"/>
  <c r="P9" i="38"/>
  <c r="E5" i="38"/>
  <c r="E4" i="38"/>
  <c r="H39" i="14"/>
  <c r="I39" i="14"/>
  <c r="K39" i="14"/>
  <c r="L39" i="14"/>
  <c r="M39" i="14"/>
  <c r="N39" i="14"/>
  <c r="O39" i="14"/>
  <c r="P9" i="14"/>
  <c r="P10" i="14" s="1"/>
  <c r="P11" i="14" s="1"/>
  <c r="P12" i="14" s="1"/>
  <c r="P9" i="36"/>
  <c r="P10" i="36" s="1"/>
  <c r="P11" i="36" s="1"/>
  <c r="P12" i="36" s="1"/>
  <c r="P13" i="36" s="1"/>
  <c r="P14" i="36" s="1"/>
  <c r="P15" i="36" s="1"/>
  <c r="P16" i="36" s="1"/>
  <c r="P17" i="36" s="1"/>
  <c r="P18" i="36" s="1"/>
  <c r="P19" i="36"/>
  <c r="O19" i="36"/>
  <c r="N19" i="36"/>
  <c r="M19" i="36"/>
  <c r="L19" i="36"/>
  <c r="K19" i="36"/>
  <c r="I19" i="36"/>
  <c r="H19" i="36"/>
  <c r="E5" i="36"/>
  <c r="E4" i="36"/>
  <c r="P101" i="35"/>
  <c r="P62" i="35"/>
  <c r="P46" i="35"/>
  <c r="P11" i="35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10" i="35"/>
  <c r="P9" i="35"/>
  <c r="O101" i="35"/>
  <c r="N101" i="35"/>
  <c r="M101" i="35"/>
  <c r="L101" i="35"/>
  <c r="K101" i="35"/>
  <c r="I101" i="35"/>
  <c r="H101" i="35"/>
  <c r="E5" i="35"/>
  <c r="E4" i="35"/>
  <c r="P127" i="34"/>
  <c r="P11" i="34"/>
  <c r="P12" i="34"/>
  <c r="P13" i="34" s="1"/>
  <c r="P14" i="34" s="1"/>
  <c r="P15" i="34" s="1"/>
  <c r="P16" i="34" s="1"/>
  <c r="P17" i="34" s="1"/>
  <c r="P18" i="34" s="1"/>
  <c r="P19" i="34" s="1"/>
  <c r="P20" i="34" s="1"/>
  <c r="P21" i="34" s="1"/>
  <c r="P22" i="34" s="1"/>
  <c r="P23" i="34" s="1"/>
  <c r="P24" i="34" s="1"/>
  <c r="P25" i="34" s="1"/>
  <c r="P26" i="34" s="1"/>
  <c r="P27" i="34" s="1"/>
  <c r="P28" i="34" s="1"/>
  <c r="P29" i="34" s="1"/>
  <c r="P30" i="34" s="1"/>
  <c r="P31" i="34" s="1"/>
  <c r="P32" i="34" s="1"/>
  <c r="P33" i="34" s="1"/>
  <c r="P34" i="34" s="1"/>
  <c r="P35" i="34" s="1"/>
  <c r="P36" i="34" s="1"/>
  <c r="P37" i="34" s="1"/>
  <c r="P38" i="34" s="1"/>
  <c r="P39" i="34" s="1"/>
  <c r="P40" i="34" s="1"/>
  <c r="P41" i="34" s="1"/>
  <c r="P42" i="34" s="1"/>
  <c r="P43" i="34" s="1"/>
  <c r="P44" i="34" s="1"/>
  <c r="P45" i="34" s="1"/>
  <c r="P46" i="34" s="1"/>
  <c r="P47" i="34" s="1"/>
  <c r="P48" i="34" s="1"/>
  <c r="P49" i="34" s="1"/>
  <c r="P50" i="34" s="1"/>
  <c r="P51" i="34" s="1"/>
  <c r="P52" i="34" s="1"/>
  <c r="P53" i="34" s="1"/>
  <c r="P54" i="34" s="1"/>
  <c r="P55" i="34" s="1"/>
  <c r="P56" i="34" s="1"/>
  <c r="P57" i="34" s="1"/>
  <c r="P58" i="34" s="1"/>
  <c r="P59" i="34" s="1"/>
  <c r="P60" i="34" s="1"/>
  <c r="P61" i="34" s="1"/>
  <c r="P62" i="34" s="1"/>
  <c r="P63" i="34" s="1"/>
  <c r="P64" i="34" s="1"/>
  <c r="P65" i="34" s="1"/>
  <c r="P66" i="34" s="1"/>
  <c r="P67" i="34" s="1"/>
  <c r="P68" i="34" s="1"/>
  <c r="P69" i="34" s="1"/>
  <c r="P70" i="34" s="1"/>
  <c r="P71" i="34" s="1"/>
  <c r="P72" i="34" s="1"/>
  <c r="P73" i="34" s="1"/>
  <c r="P74" i="34" s="1"/>
  <c r="P75" i="34" s="1"/>
  <c r="P76" i="34" s="1"/>
  <c r="P77" i="34" s="1"/>
  <c r="P78" i="34" s="1"/>
  <c r="P79" i="34" s="1"/>
  <c r="P80" i="34" s="1"/>
  <c r="P81" i="34" s="1"/>
  <c r="P82" i="34" s="1"/>
  <c r="P83" i="34" s="1"/>
  <c r="P84" i="34" s="1"/>
  <c r="P85" i="34" s="1"/>
  <c r="P86" i="34" s="1"/>
  <c r="P87" i="34" s="1"/>
  <c r="P88" i="34" s="1"/>
  <c r="P89" i="34" s="1"/>
  <c r="P90" i="34" s="1"/>
  <c r="P91" i="34" s="1"/>
  <c r="P92" i="34" s="1"/>
  <c r="P93" i="34" s="1"/>
  <c r="P94" i="34" s="1"/>
  <c r="P95" i="34" s="1"/>
  <c r="P96" i="34" s="1"/>
  <c r="P97" i="34" s="1"/>
  <c r="P98" i="34" s="1"/>
  <c r="P99" i="34" s="1"/>
  <c r="P100" i="34" s="1"/>
  <c r="P101" i="34" s="1"/>
  <c r="P102" i="34" s="1"/>
  <c r="P103" i="34" s="1"/>
  <c r="P104" i="34" s="1"/>
  <c r="P105" i="34" s="1"/>
  <c r="P106" i="34" s="1"/>
  <c r="P107" i="34" s="1"/>
  <c r="P108" i="34" s="1"/>
  <c r="P109" i="34" s="1"/>
  <c r="P110" i="34" s="1"/>
  <c r="P111" i="34" s="1"/>
  <c r="P112" i="34" s="1"/>
  <c r="P113" i="34" s="1"/>
  <c r="P114" i="34" s="1"/>
  <c r="P115" i="34" s="1"/>
  <c r="P116" i="34" s="1"/>
  <c r="P117" i="34" s="1"/>
  <c r="P118" i="34" s="1"/>
  <c r="P119" i="34" s="1"/>
  <c r="P120" i="34" s="1"/>
  <c r="P121" i="34" s="1"/>
  <c r="P122" i="34" s="1"/>
  <c r="P123" i="34" s="1"/>
  <c r="P124" i="34" s="1"/>
  <c r="P125" i="34" s="1"/>
  <c r="P126" i="34" s="1"/>
  <c r="P10" i="34"/>
  <c r="P9" i="34"/>
  <c r="L110" i="34"/>
  <c r="L127" i="34" s="1"/>
  <c r="K110" i="34"/>
  <c r="O127" i="34"/>
  <c r="N127" i="34"/>
  <c r="M127" i="34"/>
  <c r="K127" i="34"/>
  <c r="I127" i="34"/>
  <c r="H127" i="34"/>
  <c r="E5" i="34"/>
  <c r="E4" i="34"/>
  <c r="P34" i="33"/>
  <c r="P9" i="33"/>
  <c r="P10" i="33" s="1"/>
  <c r="P11" i="33" s="1"/>
  <c r="P12" i="33" s="1"/>
  <c r="P13" i="33" s="1"/>
  <c r="P14" i="33" s="1"/>
  <c r="P15" i="33" s="1"/>
  <c r="P16" i="33" s="1"/>
  <c r="P17" i="33" s="1"/>
  <c r="P18" i="33" s="1"/>
  <c r="P19" i="33" s="1"/>
  <c r="P20" i="33" s="1"/>
  <c r="P21" i="33" s="1"/>
  <c r="P22" i="33" s="1"/>
  <c r="P23" i="33" s="1"/>
  <c r="P24" i="33" s="1"/>
  <c r="P25" i="33" s="1"/>
  <c r="P26" i="33" s="1"/>
  <c r="P27" i="33" s="1"/>
  <c r="P28" i="33" s="1"/>
  <c r="P29" i="33" s="1"/>
  <c r="P30" i="33" s="1"/>
  <c r="P31" i="33" s="1"/>
  <c r="P32" i="33" s="1"/>
  <c r="P33" i="33" s="1"/>
  <c r="O34" i="33"/>
  <c r="N34" i="33"/>
  <c r="M34" i="33"/>
  <c r="L34" i="33"/>
  <c r="K34" i="33"/>
  <c r="I34" i="33"/>
  <c r="H34" i="33"/>
  <c r="E5" i="33"/>
  <c r="E4" i="33"/>
  <c r="P17" i="32"/>
  <c r="P9" i="32"/>
  <c r="P10" i="32" s="1"/>
  <c r="P11" i="32" s="1"/>
  <c r="P12" i="32" s="1"/>
  <c r="P13" i="32" s="1"/>
  <c r="P14" i="32" s="1"/>
  <c r="P15" i="32" s="1"/>
  <c r="P16" i="32" s="1"/>
  <c r="E3" i="32"/>
  <c r="O17" i="32"/>
  <c r="N17" i="32"/>
  <c r="M17" i="32"/>
  <c r="L17" i="32"/>
  <c r="K17" i="32"/>
  <c r="I17" i="32"/>
  <c r="H17" i="32"/>
  <c r="E5" i="32"/>
  <c r="E4" i="32"/>
  <c r="P121" i="31"/>
  <c r="P11" i="31"/>
  <c r="P12" i="31"/>
  <c r="P13" i="31"/>
  <c r="P14" i="3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P37" i="31" s="1"/>
  <c r="P38" i="31" s="1"/>
  <c r="P39" i="31" s="1"/>
  <c r="P40" i="31" s="1"/>
  <c r="P41" i="31" s="1"/>
  <c r="P42" i="31" s="1"/>
  <c r="P43" i="31" s="1"/>
  <c r="P44" i="31" s="1"/>
  <c r="P45" i="31" s="1"/>
  <c r="P46" i="31" s="1"/>
  <c r="P47" i="31" s="1"/>
  <c r="P48" i="31" s="1"/>
  <c r="P49" i="31" s="1"/>
  <c r="P50" i="31" s="1"/>
  <c r="P51" i="31" s="1"/>
  <c r="P52" i="31" s="1"/>
  <c r="P53" i="31" s="1"/>
  <c r="P54" i="31" s="1"/>
  <c r="P55" i="31" s="1"/>
  <c r="P56" i="31" s="1"/>
  <c r="P57" i="31" s="1"/>
  <c r="P58" i="31" s="1"/>
  <c r="P59" i="31" s="1"/>
  <c r="P60" i="31" s="1"/>
  <c r="P61" i="31" s="1"/>
  <c r="P62" i="31" s="1"/>
  <c r="P63" i="31" s="1"/>
  <c r="P64" i="31" s="1"/>
  <c r="P65" i="31" s="1"/>
  <c r="P66" i="31" s="1"/>
  <c r="P67" i="31" s="1"/>
  <c r="P68" i="31" s="1"/>
  <c r="P69" i="31" s="1"/>
  <c r="P70" i="31" s="1"/>
  <c r="P71" i="31" s="1"/>
  <c r="P72" i="31" s="1"/>
  <c r="P73" i="31" s="1"/>
  <c r="P74" i="31" s="1"/>
  <c r="P75" i="31" s="1"/>
  <c r="P76" i="31" s="1"/>
  <c r="P77" i="31" s="1"/>
  <c r="P78" i="31" s="1"/>
  <c r="P79" i="31" s="1"/>
  <c r="P80" i="31" s="1"/>
  <c r="P81" i="31" s="1"/>
  <c r="P82" i="31" s="1"/>
  <c r="P83" i="31" s="1"/>
  <c r="P84" i="31" s="1"/>
  <c r="P85" i="31" s="1"/>
  <c r="P86" i="31" s="1"/>
  <c r="P87" i="31" s="1"/>
  <c r="P88" i="31" s="1"/>
  <c r="P89" i="31" s="1"/>
  <c r="P90" i="31" s="1"/>
  <c r="P91" i="31" s="1"/>
  <c r="P92" i="31" s="1"/>
  <c r="P93" i="31" s="1"/>
  <c r="P94" i="31" s="1"/>
  <c r="P95" i="31" s="1"/>
  <c r="P96" i="31" s="1"/>
  <c r="P97" i="31" s="1"/>
  <c r="P98" i="31" s="1"/>
  <c r="P99" i="31" s="1"/>
  <c r="P100" i="31" s="1"/>
  <c r="P101" i="31" s="1"/>
  <c r="P102" i="31" s="1"/>
  <c r="P103" i="31" s="1"/>
  <c r="P104" i="31" s="1"/>
  <c r="P105" i="31" s="1"/>
  <c r="P106" i="31" s="1"/>
  <c r="P107" i="31" s="1"/>
  <c r="P108" i="31" s="1"/>
  <c r="P109" i="31" s="1"/>
  <c r="P110" i="31" s="1"/>
  <c r="P111" i="31" s="1"/>
  <c r="P112" i="31" s="1"/>
  <c r="P113" i="31" s="1"/>
  <c r="P114" i="31" s="1"/>
  <c r="P115" i="31" s="1"/>
  <c r="P116" i="31" s="1"/>
  <c r="P117" i="31" s="1"/>
  <c r="P118" i="31" s="1"/>
  <c r="P119" i="31" s="1"/>
  <c r="P120" i="31" s="1"/>
  <c r="P10" i="31"/>
  <c r="P9" i="31"/>
  <c r="O121" i="31"/>
  <c r="N121" i="31"/>
  <c r="M121" i="31"/>
  <c r="L121" i="31"/>
  <c r="K121" i="31"/>
  <c r="I121" i="31"/>
  <c r="H121" i="31"/>
  <c r="E5" i="31"/>
  <c r="E4" i="31"/>
  <c r="P66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40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26" i="30"/>
  <c r="J27" i="30"/>
  <c r="J28" i="30"/>
  <c r="J29" i="30"/>
  <c r="J30" i="30"/>
  <c r="J31" i="30"/>
  <c r="J32" i="30"/>
  <c r="J33" i="30"/>
  <c r="J34" i="30"/>
  <c r="J35" i="30"/>
  <c r="J36" i="30"/>
  <c r="J37" i="30"/>
  <c r="J38" i="30"/>
  <c r="J39" i="30"/>
  <c r="J9" i="30"/>
  <c r="P9" i="30" s="1"/>
  <c r="O66" i="30"/>
  <c r="N66" i="30"/>
  <c r="M66" i="30"/>
  <c r="L66" i="30"/>
  <c r="I66" i="30"/>
  <c r="H66" i="30"/>
  <c r="E5" i="30"/>
  <c r="E4" i="30"/>
  <c r="P76" i="28"/>
  <c r="J76" i="28"/>
  <c r="P9" i="28"/>
  <c r="K49" i="28"/>
  <c r="L49" i="28"/>
  <c r="K50" i="28"/>
  <c r="L50" i="28"/>
  <c r="K51" i="28"/>
  <c r="L51" i="28"/>
  <c r="K52" i="28"/>
  <c r="L52" i="28"/>
  <c r="K53" i="28"/>
  <c r="L53" i="28"/>
  <c r="K54" i="28"/>
  <c r="L54" i="28"/>
  <c r="K55" i="28"/>
  <c r="L55" i="28"/>
  <c r="K56" i="28"/>
  <c r="L56" i="28"/>
  <c r="K38" i="28"/>
  <c r="L38" i="28"/>
  <c r="K39" i="28"/>
  <c r="L39" i="28"/>
  <c r="K40" i="28"/>
  <c r="L40" i="28"/>
  <c r="K41" i="28"/>
  <c r="L41" i="28"/>
  <c r="K42" i="28"/>
  <c r="L42" i="28"/>
  <c r="K43" i="28"/>
  <c r="L43" i="28"/>
  <c r="K44" i="28"/>
  <c r="L44" i="28"/>
  <c r="K45" i="28"/>
  <c r="L45" i="28"/>
  <c r="K46" i="28"/>
  <c r="L46" i="28"/>
  <c r="K47" i="28"/>
  <c r="L47" i="28"/>
  <c r="K48" i="28"/>
  <c r="L48" i="28"/>
  <c r="L37" i="28"/>
  <c r="K3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J35" i="28"/>
  <c r="J36" i="28"/>
  <c r="J17" i="28"/>
  <c r="L10" i="28"/>
  <c r="L11" i="28"/>
  <c r="L12" i="28"/>
  <c r="L13" i="28"/>
  <c r="L14" i="28"/>
  <c r="L15" i="28"/>
  <c r="L16" i="28"/>
  <c r="K10" i="28"/>
  <c r="P10" i="28" s="1"/>
  <c r="K11" i="28"/>
  <c r="P11" i="28" s="1"/>
  <c r="P12" i="28" s="1"/>
  <c r="P13" i="28" s="1"/>
  <c r="P14" i="28" s="1"/>
  <c r="P15" i="28" s="1"/>
  <c r="P16" i="28" s="1"/>
  <c r="P17" i="28" s="1"/>
  <c r="P18" i="28" s="1"/>
  <c r="P19" i="28" s="1"/>
  <c r="P20" i="28" s="1"/>
  <c r="P21" i="28" s="1"/>
  <c r="P22" i="28" s="1"/>
  <c r="P23" i="28" s="1"/>
  <c r="P24" i="28" s="1"/>
  <c r="P25" i="28" s="1"/>
  <c r="P26" i="28" s="1"/>
  <c r="P27" i="28" s="1"/>
  <c r="P28" i="28" s="1"/>
  <c r="P29" i="28" s="1"/>
  <c r="P30" i="28" s="1"/>
  <c r="P31" i="28" s="1"/>
  <c r="P32" i="28" s="1"/>
  <c r="P33" i="28" s="1"/>
  <c r="P34" i="28" s="1"/>
  <c r="P35" i="28" s="1"/>
  <c r="P36" i="28" s="1"/>
  <c r="P37" i="28" s="1"/>
  <c r="P38" i="28" s="1"/>
  <c r="P39" i="28" s="1"/>
  <c r="P40" i="28" s="1"/>
  <c r="P41" i="28" s="1"/>
  <c r="P42" i="28" s="1"/>
  <c r="P43" i="28" s="1"/>
  <c r="P44" i="28" s="1"/>
  <c r="P45" i="28" s="1"/>
  <c r="P46" i="28" s="1"/>
  <c r="P47" i="28" s="1"/>
  <c r="P48" i="28" s="1"/>
  <c r="P49" i="28" s="1"/>
  <c r="P50" i="28" s="1"/>
  <c r="P51" i="28" s="1"/>
  <c r="P52" i="28" s="1"/>
  <c r="P53" i="28" s="1"/>
  <c r="P54" i="28" s="1"/>
  <c r="P55" i="28" s="1"/>
  <c r="P56" i="28" s="1"/>
  <c r="P57" i="28" s="1"/>
  <c r="P58" i="28" s="1"/>
  <c r="P59" i="28" s="1"/>
  <c r="P60" i="28" s="1"/>
  <c r="P61" i="28" s="1"/>
  <c r="P62" i="28" s="1"/>
  <c r="P63" i="28" s="1"/>
  <c r="P64" i="28" s="1"/>
  <c r="P65" i="28" s="1"/>
  <c r="P66" i="28" s="1"/>
  <c r="P67" i="28" s="1"/>
  <c r="P68" i="28" s="1"/>
  <c r="P69" i="28" s="1"/>
  <c r="P70" i="28" s="1"/>
  <c r="P71" i="28" s="1"/>
  <c r="P72" i="28" s="1"/>
  <c r="P73" i="28" s="1"/>
  <c r="P74" i="28" s="1"/>
  <c r="P75" i="28" s="1"/>
  <c r="K12" i="28"/>
  <c r="K13" i="28"/>
  <c r="K14" i="28"/>
  <c r="K15" i="28"/>
  <c r="K16" i="28"/>
  <c r="E3" i="28"/>
  <c r="O76" i="28"/>
  <c r="N76" i="28"/>
  <c r="M76" i="28"/>
  <c r="I76" i="28"/>
  <c r="H76" i="28"/>
  <c r="E5" i="28"/>
  <c r="E4" i="28"/>
  <c r="P15" i="27"/>
  <c r="L9" i="27"/>
  <c r="L15" i="27" s="1"/>
  <c r="K9" i="27"/>
  <c r="P9" i="27" s="1"/>
  <c r="P10" i="27" s="1"/>
  <c r="P11" i="27" s="1"/>
  <c r="P12" i="27" s="1"/>
  <c r="P13" i="27" s="1"/>
  <c r="P14" i="27" s="1"/>
  <c r="O15" i="27"/>
  <c r="N15" i="27"/>
  <c r="M15" i="27"/>
  <c r="K15" i="27"/>
  <c r="I15" i="27"/>
  <c r="H15" i="27"/>
  <c r="E5" i="27"/>
  <c r="E4" i="27"/>
  <c r="L9" i="26"/>
  <c r="L12" i="26" s="1"/>
  <c r="K9" i="26"/>
  <c r="O12" i="26"/>
  <c r="N12" i="26"/>
  <c r="M12" i="26"/>
  <c r="K12" i="26"/>
  <c r="I12" i="26"/>
  <c r="H12" i="26"/>
  <c r="E5" i="26"/>
  <c r="E4" i="26"/>
  <c r="P9" i="25"/>
  <c r="P10" i="25" s="1"/>
  <c r="P11" i="25" s="1"/>
  <c r="P12" i="25" s="1"/>
  <c r="P13" i="25" s="1"/>
  <c r="P14" i="25" s="1"/>
  <c r="E3" i="25"/>
  <c r="O14" i="25"/>
  <c r="N14" i="25"/>
  <c r="M14" i="25"/>
  <c r="L14" i="25"/>
  <c r="K14" i="25"/>
  <c r="I14" i="25"/>
  <c r="H14" i="25"/>
  <c r="E5" i="25"/>
  <c r="E4" i="25"/>
  <c r="P16" i="40" l="1"/>
  <c r="P17" i="40" s="1"/>
  <c r="P18" i="40" s="1"/>
  <c r="P19" i="40" s="1"/>
  <c r="P20" i="40" s="1"/>
  <c r="P21" i="40" s="1"/>
  <c r="P22" i="40" s="1"/>
  <c r="P23" i="40" s="1"/>
  <c r="P24" i="40" s="1"/>
  <c r="P25" i="40" s="1"/>
  <c r="P26" i="40" s="1"/>
  <c r="P27" i="40" s="1"/>
  <c r="P28" i="40" s="1"/>
  <c r="P63" i="35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P97" i="35" s="1"/>
  <c r="P98" i="35" s="1"/>
  <c r="P99" i="35" s="1"/>
  <c r="P100" i="35" s="1"/>
  <c r="K66" i="30"/>
  <c r="P10" i="30"/>
  <c r="P11" i="30" s="1"/>
  <c r="P12" i="30" s="1"/>
  <c r="P13" i="30" s="1"/>
  <c r="P14" i="30" s="1"/>
  <c r="P15" i="30" s="1"/>
  <c r="P16" i="30" s="1"/>
  <c r="P17" i="30" s="1"/>
  <c r="P18" i="30" s="1"/>
  <c r="P19" i="30" s="1"/>
  <c r="P20" i="30" s="1"/>
  <c r="P21" i="30" s="1"/>
  <c r="P22" i="30" s="1"/>
  <c r="P23" i="30" s="1"/>
  <c r="P24" i="30" s="1"/>
  <c r="P25" i="30" s="1"/>
  <c r="P26" i="30" s="1"/>
  <c r="P27" i="30" s="1"/>
  <c r="P28" i="30" s="1"/>
  <c r="P29" i="30" s="1"/>
  <c r="P30" i="30" s="1"/>
  <c r="P31" i="30" s="1"/>
  <c r="P32" i="30" s="1"/>
  <c r="P33" i="30" s="1"/>
  <c r="P34" i="30" s="1"/>
  <c r="P35" i="30" s="1"/>
  <c r="P36" i="30" s="1"/>
  <c r="P37" i="30" s="1"/>
  <c r="P38" i="30" s="1"/>
  <c r="P39" i="30" s="1"/>
  <c r="P40" i="30" s="1"/>
  <c r="P41" i="30" s="1"/>
  <c r="P42" i="30" s="1"/>
  <c r="P43" i="30" s="1"/>
  <c r="P44" i="30" s="1"/>
  <c r="P45" i="30" s="1"/>
  <c r="P46" i="30" s="1"/>
  <c r="P47" i="30" s="1"/>
  <c r="P48" i="30" s="1"/>
  <c r="P49" i="30" s="1"/>
  <c r="P50" i="30" s="1"/>
  <c r="P51" i="30" s="1"/>
  <c r="P52" i="30" s="1"/>
  <c r="P53" i="30" s="1"/>
  <c r="P54" i="30" s="1"/>
  <c r="P55" i="30" s="1"/>
  <c r="P56" i="30" s="1"/>
  <c r="P57" i="30" s="1"/>
  <c r="P58" i="30" s="1"/>
  <c r="P59" i="30" s="1"/>
  <c r="P60" i="30" s="1"/>
  <c r="P61" i="30" s="1"/>
  <c r="P62" i="30" s="1"/>
  <c r="P63" i="30" s="1"/>
  <c r="P64" i="30" s="1"/>
  <c r="P65" i="30" s="1"/>
  <c r="K76" i="28"/>
  <c r="P9" i="26"/>
  <c r="P10" i="26" s="1"/>
  <c r="P11" i="26" s="1"/>
  <c r="P12" i="26" s="1"/>
  <c r="L76" i="28"/>
  <c r="P32" i="23" l="1"/>
  <c r="P33" i="23" s="1"/>
  <c r="P9" i="23"/>
  <c r="P10" i="23" s="1"/>
  <c r="P11" i="23" s="1"/>
  <c r="P12" i="23" s="1"/>
  <c r="P13" i="23" s="1"/>
  <c r="P14" i="23" s="1"/>
  <c r="P15" i="23" s="1"/>
  <c r="P16" i="23" s="1"/>
  <c r="P17" i="23" s="1"/>
  <c r="P18" i="23" s="1"/>
  <c r="P19" i="23" s="1"/>
  <c r="P20" i="23" s="1"/>
  <c r="P21" i="23" s="1"/>
  <c r="H33" i="23"/>
  <c r="I33" i="23"/>
  <c r="K33" i="23"/>
  <c r="L33" i="23"/>
  <c r="O33" i="23"/>
  <c r="N33" i="23"/>
  <c r="M33" i="23"/>
  <c r="E5" i="23"/>
  <c r="E4" i="23"/>
  <c r="E3" i="23"/>
  <c r="P9" i="20"/>
  <c r="P10" i="20" s="1"/>
  <c r="P11" i="20" s="1"/>
  <c r="P12" i="20" s="1"/>
  <c r="P13" i="20" s="1"/>
  <c r="P14" i="20" s="1"/>
  <c r="P15" i="20" s="1"/>
  <c r="P16" i="20" s="1"/>
  <c r="P17" i="20" s="1"/>
  <c r="P18" i="20" s="1"/>
  <c r="P19" i="20" s="1"/>
  <c r="P20" i="20" s="1"/>
  <c r="P21" i="20" s="1"/>
  <c r="P22" i="20" s="1"/>
  <c r="P23" i="20" s="1"/>
  <c r="P24" i="20" s="1"/>
  <c r="P25" i="20" s="1"/>
  <c r="P26" i="20" s="1"/>
  <c r="P27" i="20" s="1"/>
  <c r="P28" i="20" s="1"/>
  <c r="P29" i="20" s="1"/>
  <c r="P30" i="20" s="1"/>
  <c r="P31" i="20" s="1"/>
  <c r="P32" i="20" s="1"/>
  <c r="P33" i="20" s="1"/>
  <c r="P34" i="20" s="1"/>
  <c r="P35" i="20" s="1"/>
  <c r="P36" i="20" s="1"/>
  <c r="O36" i="20"/>
  <c r="N36" i="20"/>
  <c r="M36" i="20"/>
  <c r="L36" i="20"/>
  <c r="K36" i="20"/>
  <c r="I36" i="20"/>
  <c r="H36" i="20"/>
  <c r="E5" i="20"/>
  <c r="E4" i="20"/>
  <c r="E3" i="15"/>
  <c r="P9" i="19"/>
  <c r="P10" i="19" s="1"/>
  <c r="P11" i="19" s="1"/>
  <c r="P12" i="19" s="1"/>
  <c r="P13" i="19" s="1"/>
  <c r="P14" i="19" s="1"/>
  <c r="P15" i="19" s="1"/>
  <c r="P16" i="19" s="1"/>
  <c r="P17" i="19" s="1"/>
  <c r="P18" i="19" s="1"/>
  <c r="P19" i="19" s="1"/>
  <c r="P20" i="19" s="1"/>
  <c r="P21" i="19" s="1"/>
  <c r="P22" i="19" s="1"/>
  <c r="P23" i="19" s="1"/>
  <c r="P24" i="19" s="1"/>
  <c r="P25" i="19" s="1"/>
  <c r="P26" i="19" s="1"/>
  <c r="P27" i="19" s="1"/>
  <c r="P28" i="19" s="1"/>
  <c r="P29" i="19" s="1"/>
  <c r="P30" i="19" s="1"/>
  <c r="P31" i="19" s="1"/>
  <c r="P32" i="19" s="1"/>
  <c r="P33" i="19" s="1"/>
  <c r="P34" i="19" s="1"/>
  <c r="P35" i="19" s="1"/>
  <c r="P36" i="19" s="1"/>
  <c r="P37" i="19" s="1"/>
  <c r="P38" i="19" s="1"/>
  <c r="P39" i="19" s="1"/>
  <c r="P40" i="19" s="1"/>
  <c r="P41" i="19" s="1"/>
  <c r="P42" i="19" s="1"/>
  <c r="P43" i="19" s="1"/>
  <c r="P44" i="19" s="1"/>
  <c r="P45" i="19" s="1"/>
  <c r="P46" i="19" s="1"/>
  <c r="P47" i="19" s="1"/>
  <c r="P48" i="19" s="1"/>
  <c r="P49" i="19" s="1"/>
  <c r="P50" i="19" s="1"/>
  <c r="P51" i="19" s="1"/>
  <c r="P52" i="19" s="1"/>
  <c r="P53" i="19" s="1"/>
  <c r="P54" i="19" s="1"/>
  <c r="P55" i="19" s="1"/>
  <c r="P56" i="19" s="1"/>
  <c r="P57" i="19" s="1"/>
  <c r="P58" i="19" s="1"/>
  <c r="P59" i="19" s="1"/>
  <c r="P60" i="19" s="1"/>
  <c r="P61" i="19" s="1"/>
  <c r="P62" i="19" s="1"/>
  <c r="P63" i="19" s="1"/>
  <c r="P64" i="19" s="1"/>
  <c r="P65" i="19" s="1"/>
  <c r="P66" i="19" s="1"/>
  <c r="P67" i="19" s="1"/>
  <c r="P68" i="19" s="1"/>
  <c r="P69" i="19" s="1"/>
  <c r="P70" i="19" s="1"/>
  <c r="P71" i="19" s="1"/>
  <c r="P72" i="19" s="1"/>
  <c r="P73" i="19" s="1"/>
  <c r="P74" i="19" s="1"/>
  <c r="P75" i="19" s="1"/>
  <c r="P76" i="19" s="1"/>
  <c r="P77" i="19" s="1"/>
  <c r="N78" i="19"/>
  <c r="L10" i="19"/>
  <c r="L78" i="19" s="1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56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9" i="19"/>
  <c r="P78" i="19"/>
  <c r="O78" i="19"/>
  <c r="M78" i="19"/>
  <c r="I78" i="19"/>
  <c r="H78" i="19"/>
  <c r="E5" i="19"/>
  <c r="E4" i="19"/>
  <c r="P74" i="18"/>
  <c r="P9" i="18"/>
  <c r="P10" i="18" s="1"/>
  <c r="P11" i="18" s="1"/>
  <c r="P12" i="18" s="1"/>
  <c r="P13" i="18" s="1"/>
  <c r="P14" i="18" s="1"/>
  <c r="P15" i="18" s="1"/>
  <c r="P16" i="18" s="1"/>
  <c r="P17" i="18" s="1"/>
  <c r="P18" i="18" s="1"/>
  <c r="P19" i="18" s="1"/>
  <c r="P20" i="18" s="1"/>
  <c r="P21" i="18" s="1"/>
  <c r="P22" i="18" s="1"/>
  <c r="P23" i="18" s="1"/>
  <c r="P24" i="18" s="1"/>
  <c r="P25" i="18" s="1"/>
  <c r="P26" i="18" s="1"/>
  <c r="P27" i="18" s="1"/>
  <c r="P28" i="18" s="1"/>
  <c r="P29" i="18" s="1"/>
  <c r="P30" i="18" s="1"/>
  <c r="P31" i="18" s="1"/>
  <c r="P32" i="18" s="1"/>
  <c r="P33" i="18" s="1"/>
  <c r="P34" i="18" s="1"/>
  <c r="P35" i="18" s="1"/>
  <c r="P36" i="18" s="1"/>
  <c r="P37" i="18" s="1"/>
  <c r="P38" i="18" s="1"/>
  <c r="P39" i="18" s="1"/>
  <c r="P40" i="18" s="1"/>
  <c r="P41" i="18" s="1"/>
  <c r="P42" i="18" s="1"/>
  <c r="P43" i="18" s="1"/>
  <c r="P44" i="18" s="1"/>
  <c r="P45" i="18" s="1"/>
  <c r="P46" i="18" s="1"/>
  <c r="P47" i="18" s="1"/>
  <c r="P48" i="18" s="1"/>
  <c r="P49" i="18" s="1"/>
  <c r="P50" i="18" s="1"/>
  <c r="P51" i="18" s="1"/>
  <c r="P52" i="18" s="1"/>
  <c r="P53" i="18" s="1"/>
  <c r="P54" i="18" s="1"/>
  <c r="P55" i="18" s="1"/>
  <c r="P56" i="18" s="1"/>
  <c r="P57" i="18" s="1"/>
  <c r="P58" i="18" s="1"/>
  <c r="P59" i="18" s="1"/>
  <c r="P60" i="18" s="1"/>
  <c r="P61" i="18" s="1"/>
  <c r="P62" i="18" s="1"/>
  <c r="P63" i="18" s="1"/>
  <c r="P64" i="18" s="1"/>
  <c r="P65" i="18" s="1"/>
  <c r="P66" i="18" s="1"/>
  <c r="P67" i="18" s="1"/>
  <c r="P68" i="18" s="1"/>
  <c r="P69" i="18" s="1"/>
  <c r="P70" i="18" s="1"/>
  <c r="P71" i="18" s="1"/>
  <c r="P72" i="18" s="1"/>
  <c r="P73" i="18" s="1"/>
  <c r="L24" i="18"/>
  <c r="L25" i="18"/>
  <c r="L26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K24" i="18"/>
  <c r="K25" i="18"/>
  <c r="K26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L10" i="18"/>
  <c r="K10" i="18"/>
  <c r="O74" i="18"/>
  <c r="N74" i="18"/>
  <c r="M74" i="18"/>
  <c r="I74" i="18"/>
  <c r="H74" i="18"/>
  <c r="E5" i="18"/>
  <c r="E4" i="18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9" i="16"/>
  <c r="P9" i="16" s="1"/>
  <c r="P10" i="16" s="1"/>
  <c r="K10" i="16"/>
  <c r="K11" i="16"/>
  <c r="P11" i="16" s="1"/>
  <c r="K12" i="16"/>
  <c r="P12" i="16" s="1"/>
  <c r="P13" i="16" s="1"/>
  <c r="P14" i="16" s="1"/>
  <c r="P15" i="16" s="1"/>
  <c r="P16" i="16" s="1"/>
  <c r="P17" i="16" s="1"/>
  <c r="P18" i="16" s="1"/>
  <c r="P19" i="16" s="1"/>
  <c r="P20" i="16" s="1"/>
  <c r="P21" i="16" s="1"/>
  <c r="P22" i="16" s="1"/>
  <c r="P23" i="16" s="1"/>
  <c r="P24" i="16" s="1"/>
  <c r="P25" i="16" s="1"/>
  <c r="P26" i="16" s="1"/>
  <c r="P27" i="16" s="1"/>
  <c r="P28" i="16" s="1"/>
  <c r="P29" i="16" s="1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9" i="16"/>
  <c r="O29" i="16"/>
  <c r="N29" i="16"/>
  <c r="M29" i="16"/>
  <c r="I29" i="16"/>
  <c r="H29" i="16"/>
  <c r="E5" i="16"/>
  <c r="E4" i="16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9" i="15"/>
  <c r="P9" i="15" s="1"/>
  <c r="P10" i="15" s="1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O81" i="15"/>
  <c r="N81" i="15"/>
  <c r="M81" i="15"/>
  <c r="I81" i="15"/>
  <c r="H81" i="15"/>
  <c r="E5" i="15"/>
  <c r="E4" i="15"/>
  <c r="E5" i="14"/>
  <c r="E4" i="14"/>
  <c r="O44" i="13"/>
  <c r="N44" i="13"/>
  <c r="M44" i="13"/>
  <c r="L44" i="13"/>
  <c r="K44" i="13"/>
  <c r="I44" i="13"/>
  <c r="H44" i="13"/>
  <c r="P13" i="13"/>
  <c r="P14" i="13" s="1"/>
  <c r="P15" i="13" s="1"/>
  <c r="P16" i="13" s="1"/>
  <c r="E9" i="13"/>
  <c r="E8" i="13"/>
  <c r="P13" i="12"/>
  <c r="P14" i="12" s="1"/>
  <c r="E7" i="12"/>
  <c r="E6" i="12"/>
  <c r="O28" i="12"/>
  <c r="N28" i="12"/>
  <c r="M28" i="12"/>
  <c r="L28" i="12"/>
  <c r="K28" i="12"/>
  <c r="I28" i="12"/>
  <c r="H28" i="12"/>
  <c r="E9" i="12"/>
  <c r="E8" i="12"/>
  <c r="P9" i="11"/>
  <c r="P10" i="11" s="1"/>
  <c r="N11" i="11"/>
  <c r="N90" i="11" s="1"/>
  <c r="E3" i="11"/>
  <c r="E2" i="11"/>
  <c r="O90" i="11"/>
  <c r="M90" i="11"/>
  <c r="L90" i="11"/>
  <c r="K90" i="11"/>
  <c r="I90" i="11"/>
  <c r="H90" i="11"/>
  <c r="E5" i="11"/>
  <c r="E4" i="11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7" i="9"/>
  <c r="L28" i="9"/>
  <c r="L29" i="9"/>
  <c r="L30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K13" i="9"/>
  <c r="P13" i="9" s="1"/>
  <c r="K14" i="9"/>
  <c r="K15" i="9"/>
  <c r="K16" i="9"/>
  <c r="K17" i="9"/>
  <c r="K18" i="9"/>
  <c r="K19" i="9"/>
  <c r="K20" i="9"/>
  <c r="K21" i="9"/>
  <c r="K22" i="9"/>
  <c r="K23" i="9"/>
  <c r="K24" i="9"/>
  <c r="K25" i="9"/>
  <c r="K27" i="9"/>
  <c r="K28" i="9"/>
  <c r="K29" i="9"/>
  <c r="K30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E9" i="9"/>
  <c r="E8" i="9"/>
  <c r="I66" i="9"/>
  <c r="M66" i="9"/>
  <c r="O66" i="9"/>
  <c r="H66" i="9"/>
  <c r="E7" i="9"/>
  <c r="E6" i="9"/>
  <c r="K78" i="19" l="1"/>
  <c r="K74" i="18"/>
  <c r="L29" i="16"/>
  <c r="K81" i="15"/>
  <c r="L81" i="15"/>
  <c r="L74" i="18"/>
  <c r="K29" i="16"/>
  <c r="P11" i="1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P86" i="11" s="1"/>
  <c r="P87" i="11" s="1"/>
  <c r="P88" i="11" s="1"/>
  <c r="P89" i="11" s="1"/>
  <c r="P90" i="11" s="1"/>
  <c r="P17" i="13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/>
  <c r="P15" i="12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/>
  <c r="L66" i="9"/>
  <c r="K66" i="9"/>
  <c r="P14" i="9"/>
  <c r="N66" i="9"/>
  <c r="P66" i="9" l="1"/>
  <c r="P15" i="9"/>
  <c r="P16" i="9" l="1"/>
  <c r="P17" i="9" l="1"/>
  <c r="P18" i="9" l="1"/>
  <c r="P19" i="9" l="1"/>
  <c r="P20" i="9" l="1"/>
  <c r="P21" i="9" l="1"/>
  <c r="P22" i="9" l="1"/>
  <c r="P23" i="9" l="1"/>
  <c r="P24" i="9" l="1"/>
  <c r="P25" i="9" l="1"/>
  <c r="P26" i="9" l="1"/>
  <c r="P27" i="9" l="1"/>
  <c r="P28" i="9" l="1"/>
  <c r="P29" i="9" l="1"/>
  <c r="P30" i="9" l="1"/>
  <c r="P31" i="9" l="1"/>
  <c r="P32" i="9" l="1"/>
  <c r="P33" i="9" l="1"/>
  <c r="P34" i="9" l="1"/>
  <c r="P35" i="9" l="1"/>
  <c r="P36" i="9" l="1"/>
  <c r="P37" i="9" l="1"/>
  <c r="P38" i="9" l="1"/>
  <c r="P39" i="9" l="1"/>
  <c r="P40" i="9" l="1"/>
  <c r="P41" i="9" l="1"/>
  <c r="P42" i="9" l="1"/>
  <c r="P43" i="9" l="1"/>
  <c r="P44" i="9" l="1"/>
  <c r="P45" i="9" l="1"/>
  <c r="P46" i="9" l="1"/>
  <c r="P47" i="9" l="1"/>
  <c r="P48" i="9" l="1"/>
  <c r="P49" i="9" l="1"/>
  <c r="P50" i="9" l="1"/>
  <c r="P51" i="9" l="1"/>
  <c r="P52" i="9" l="1"/>
  <c r="P53" i="9" l="1"/>
  <c r="P54" i="9" l="1"/>
  <c r="P55" i="9" l="1"/>
  <c r="P56" i="9" l="1"/>
  <c r="P57" i="9" l="1"/>
  <c r="A23" i="1"/>
  <c r="A24" i="1" s="1"/>
  <c r="A15" i="1"/>
  <c r="A16" i="1" s="1"/>
  <c r="A17" i="1" s="1"/>
  <c r="A18" i="1" s="1"/>
  <c r="A19" i="1" s="1"/>
  <c r="A20" i="1" s="1"/>
  <c r="A10" i="1"/>
  <c r="A11" i="1" s="1"/>
  <c r="A12" i="1" s="1"/>
  <c r="A13" i="1" s="1"/>
  <c r="P58" i="9" l="1"/>
  <c r="P59" i="9" l="1"/>
  <c r="P60" i="9" l="1"/>
  <c r="P61" i="9" l="1"/>
  <c r="P62" i="9" l="1"/>
  <c r="P63" i="9" l="1"/>
  <c r="P64" i="9" l="1"/>
  <c r="P65" i="9" l="1"/>
</calcChain>
</file>

<file path=xl/sharedStrings.xml><?xml version="1.0" encoding="utf-8"?>
<sst xmlns="http://schemas.openxmlformats.org/spreadsheetml/2006/main" count="2630" uniqueCount="956">
  <si>
    <t>PKA</t>
  </si>
  <si>
    <t>Nombre Legal</t>
  </si>
  <si>
    <t>Grupo</t>
  </si>
  <si>
    <t>Fecha de Nacimiento</t>
  </si>
  <si>
    <t>Tipo de Servicio que le Brindamos</t>
  </si>
  <si>
    <t>Artista</t>
  </si>
  <si>
    <t>Escritor</t>
  </si>
  <si>
    <t>Productor</t>
  </si>
  <si>
    <t>Dayan</t>
  </si>
  <si>
    <t>Dayan Giler</t>
  </si>
  <si>
    <t>X</t>
  </si>
  <si>
    <t>dayanmvpx@gmail.com</t>
  </si>
  <si>
    <t>Marval</t>
  </si>
  <si>
    <t>Luis Guillermo Marval Camero</t>
  </si>
  <si>
    <t>x</t>
  </si>
  <si>
    <t>Energymusicvzla@gmail.com</t>
  </si>
  <si>
    <t>Pantera</t>
  </si>
  <si>
    <t>William Arteaga</t>
  </si>
  <si>
    <t xml:space="preserve">williamjarteaga@gmail.com </t>
  </si>
  <si>
    <t>Divino</t>
  </si>
  <si>
    <t>Daniel Velazquez</t>
  </si>
  <si>
    <t>Dimelo Super</t>
  </si>
  <si>
    <t>Jesus Alberto Perea Añez</t>
  </si>
  <si>
    <t>No</t>
  </si>
  <si>
    <t xml:space="preserve">dimelosuper@gmail.com </t>
  </si>
  <si>
    <t>?</t>
  </si>
  <si>
    <t>SAINT LL</t>
  </si>
  <si>
    <t>Jordy Jill</t>
  </si>
  <si>
    <t>Jordy Camilo Valdivieso Duarte</t>
  </si>
  <si>
    <t xml:space="preserve">maribell.duarte@jordyjill.com </t>
  </si>
  <si>
    <t>Borngud</t>
  </si>
  <si>
    <t>Jhon Emanuel</t>
  </si>
  <si>
    <t xml:space="preserve">borngud22@gmail.com </t>
  </si>
  <si>
    <t>MaikyMove</t>
  </si>
  <si>
    <t>onlymaiky@gmail.com</t>
  </si>
  <si>
    <t>Lanalizer</t>
  </si>
  <si>
    <t>Yan Carlo Francisco Guzmán Velásquez</t>
  </si>
  <si>
    <t>lanalizerrecords@gmail.com</t>
  </si>
  <si>
    <t>MozartMuzik</t>
  </si>
  <si>
    <t>Jose Luis Nizco Chaparro</t>
  </si>
  <si>
    <t xml:space="preserve">mozartmuzik2@gmail.com </t>
  </si>
  <si>
    <t>Hache</t>
  </si>
  <si>
    <t>Bryan Argenis Taveras</t>
  </si>
  <si>
    <t>achebookings@gmail.com</t>
  </si>
  <si>
    <t>ErickAnt</t>
  </si>
  <si>
    <t>Erick Andres Celis Marin</t>
  </si>
  <si>
    <t>Erickandrescm@gmail.com</t>
  </si>
  <si>
    <t>ECBY</t>
  </si>
  <si>
    <t>Erick Campoverde</t>
  </si>
  <si>
    <t>contactoecby@gmail.com</t>
  </si>
  <si>
    <t>Jay Rozz</t>
  </si>
  <si>
    <t>Juan Arias</t>
  </si>
  <si>
    <t>Jayrozzbooking@gmail.com</t>
  </si>
  <si>
    <t>Cubo</t>
  </si>
  <si>
    <t>Franklin Cuadrado</t>
  </si>
  <si>
    <t>prodbycubo@gmail.com</t>
  </si>
  <si>
    <t>Lennis Rodriguez</t>
  </si>
  <si>
    <t>Jorlennis Rodriguez</t>
  </si>
  <si>
    <t>info.lennis@gmail.com</t>
  </si>
  <si>
    <t>Mozart Musik</t>
  </si>
  <si>
    <t>66-0928468</t>
  </si>
  <si>
    <t>admin@mvpxmusic.com</t>
  </si>
  <si>
    <t>Tel Ofi: 787-761-9125</t>
  </si>
  <si>
    <t>Fecha</t>
  </si>
  <si>
    <t>Nombre</t>
  </si>
  <si>
    <t>Concepto</t>
  </si>
  <si>
    <t>Cargos Bancarios</t>
  </si>
  <si>
    <t>Balance</t>
  </si>
  <si>
    <t>Sirius XM Radio Inc</t>
  </si>
  <si>
    <t>SECH Virtual Event</t>
  </si>
  <si>
    <t>UMG Recordings Inc</t>
  </si>
  <si>
    <t>Production &amp; Mix services for Ecko "Cama Vacia"</t>
  </si>
  <si>
    <t>Bartives SA</t>
  </si>
  <si>
    <t>Production &amp; mixing services for Valen Madanes single "Nadie Tiene que saberlo" (s/OC#00008)</t>
  </si>
  <si>
    <t>Production services for Ecko single "Reggaeton De Antes"</t>
  </si>
  <si>
    <t>Production &amp; mixing services for Valen Madanes single "Too Late" (s/ OC#00008)</t>
  </si>
  <si>
    <t>Young Golden Inc</t>
  </si>
  <si>
    <t>Producer payment for Cambio De Estado</t>
  </si>
  <si>
    <t>Production services for "Pa que vuelva"- Ecko</t>
  </si>
  <si>
    <t>Production services Ecko, Lyanno for "Como Antes"</t>
  </si>
  <si>
    <t>Mixing services for Ecko, Lyanno "Como Antes"</t>
  </si>
  <si>
    <t>Producer payment for Ecko "GO"</t>
  </si>
  <si>
    <t>Mixing services payment for Ecko "GO"</t>
  </si>
  <si>
    <t>CYC Music Inc.</t>
  </si>
  <si>
    <t>Production services for Cauty single "Tenemos Gente"</t>
  </si>
  <si>
    <t>Production services for Valen Madanes "Donde Quedo"</t>
  </si>
  <si>
    <t>SAYCE</t>
  </si>
  <si>
    <t>Music jury urban category contest performed by Mozart Muzik</t>
  </si>
  <si>
    <t>Servicios de Produccion COPACABANA</t>
  </si>
  <si>
    <t>WK RECORDS LLC</t>
  </si>
  <si>
    <t>Services of a musical production Cancion Seven Kayne-Si Supieras</t>
  </si>
  <si>
    <t>Computer (Producto: MK183E/A Serie: WXXP02J4KH)</t>
  </si>
  <si>
    <t>Microphone Purchase</t>
  </si>
  <si>
    <t>Q12020-Q12025</t>
  </si>
  <si>
    <t>Q12025</t>
  </si>
  <si>
    <t>Regalías Mecanicas</t>
  </si>
  <si>
    <t>Guitar Center</t>
  </si>
  <si>
    <t>Pago Avance a Futura Factura</t>
  </si>
  <si>
    <t>Cross Latam LLC</t>
  </si>
  <si>
    <t>Sweetwater Sound INC.</t>
  </si>
  <si>
    <t>La Viste Venir LLC</t>
  </si>
  <si>
    <t>Boutique SRL</t>
  </si>
  <si>
    <t>Avance Solicitado</t>
  </si>
  <si>
    <t>Pago Avance</t>
  </si>
  <si>
    <t>Pago Realizado</t>
  </si>
  <si>
    <t>Devolución SweetWater Sound realizada</t>
  </si>
  <si>
    <t>Studio Rental Neon16</t>
  </si>
  <si>
    <t>Adelanto</t>
  </si>
  <si>
    <t>Servicios de Produccion de José Luis Nisco Chaparro en el Proyecto "POSITIVO"</t>
  </si>
  <si>
    <t>22 Label Group</t>
  </si>
  <si>
    <t>Producción NASHY-NASHAI "Como Le Digo" Mozart Musik</t>
  </si>
  <si>
    <t>Paranoid Filmes</t>
  </si>
  <si>
    <t>Licensing fees Reggaeton de Antes "DNA do Crime"</t>
  </si>
  <si>
    <t>Line of Blue LLC</t>
  </si>
  <si>
    <t>Mozart en la cancion Hablando Mal Mhtresuno</t>
  </si>
  <si>
    <t>mix y master del disco TURRIALUV de HELLOLOLA</t>
  </si>
  <si>
    <t>Temas Khea: Almas Gemelas Oreo de Fresa Nudes Del Cielo Al Infierno Range Rover</t>
  </si>
  <si>
    <t>Disney</t>
  </si>
  <si>
    <t>Producer - Mozart - Juega con el corazón</t>
  </si>
  <si>
    <t>Orlando Ferrer</t>
  </si>
  <si>
    <t>Joseph Emeka</t>
  </si>
  <si>
    <t>Emmanuel John</t>
  </si>
  <si>
    <t>Mastering Selfless</t>
  </si>
  <si>
    <t>Pago Productor Joseph Emeka</t>
  </si>
  <si>
    <t>Studio Hours</t>
  </si>
  <si>
    <t>Adelanto Para sacar el Pasaporte</t>
  </si>
  <si>
    <t>Compra de temas - Pago de Productores</t>
  </si>
  <si>
    <t>Studio</t>
  </si>
  <si>
    <t>.</t>
  </si>
  <si>
    <t>Johan Strauss *</t>
  </si>
  <si>
    <t>Gladys Celis</t>
  </si>
  <si>
    <t>ATT</t>
  </si>
  <si>
    <t>Advance Payment</t>
  </si>
  <si>
    <t>Food Payment Johan Strauss</t>
  </si>
  <si>
    <t>Johan Strauss Expended $140 US ATH 1210</t>
  </si>
  <si>
    <t>SuperMax Food payment</t>
  </si>
  <si>
    <t>Food SUPERMAX Johan Strauss</t>
  </si>
  <si>
    <t>Advanced Payment a Johan Strauss x envio Zelle.</t>
  </si>
  <si>
    <t>food from costco</t>
  </si>
  <si>
    <t>Voices recoding Johan Strauss</t>
  </si>
  <si>
    <t>Bought an Outfit from H&amp;M</t>
  </si>
  <si>
    <t>Voice recordings</t>
  </si>
  <si>
    <t>Voice Recording</t>
  </si>
  <si>
    <t>David Negron Report</t>
  </si>
  <si>
    <t>Food Payment Johan Strauss in the bootcamp</t>
  </si>
  <si>
    <t>Johan Strauss Telephone Bill</t>
  </si>
  <si>
    <t>Avance Gladys Celis</t>
  </si>
  <si>
    <t>Avance para pagar el deposito del alquiler</t>
  </si>
  <si>
    <t>Gastos del Celular</t>
  </si>
  <si>
    <t>Para darle disponibilidad a la cuenta de mvp</t>
  </si>
  <si>
    <t>Johan Strauss</t>
  </si>
  <si>
    <t>Artist; Dayan</t>
  </si>
  <si>
    <t>Monopolio Media</t>
  </si>
  <si>
    <t>Difusonix</t>
  </si>
  <si>
    <t>Nuevas Rimas</t>
  </si>
  <si>
    <t>Pulpam</t>
  </si>
  <si>
    <t>Mateo Sanchez</t>
  </si>
  <si>
    <t>Tobar Maldonado</t>
  </si>
  <si>
    <t>Taca Air</t>
  </si>
  <si>
    <t>Mateo Damian</t>
  </si>
  <si>
    <t>Diffusonix</t>
  </si>
  <si>
    <t>IRYO.EU</t>
  </si>
  <si>
    <t>Facebk</t>
  </si>
  <si>
    <t>Google</t>
  </si>
  <si>
    <t>Harberth</t>
  </si>
  <si>
    <t xml:space="preserve">Ingresos SongTrust </t>
  </si>
  <si>
    <t xml:space="preserve">Ingresos Symphonic </t>
  </si>
  <si>
    <t>Payment made to the producer making Dayans new almun "Heracles"</t>
  </si>
  <si>
    <t>To Record Weekenes video marketing expenses</t>
  </si>
  <si>
    <t>Payment made to the producers making Dayans new album</t>
  </si>
  <si>
    <t>Payment made to the producers making DAYAN`s new discography</t>
  </si>
  <si>
    <t>Mastering WEEKENES</t>
  </si>
  <si>
    <t>Mastering Mar y Sol</t>
  </si>
  <si>
    <t>Mastering Bandida</t>
  </si>
  <si>
    <t>Mastering QHPCU</t>
  </si>
  <si>
    <t>Dayans new almun "Heracles"</t>
  </si>
  <si>
    <t>Pago del mastering de Bandida y QHPCU</t>
  </si>
  <si>
    <t>Missing payment To Record Weekenes video marketing expenses</t>
  </si>
  <si>
    <t>Payment for a Music Video of heracles</t>
  </si>
  <si>
    <t>Payment for de influencers campaign</t>
  </si>
  <si>
    <t>Ads for Heracles</t>
  </si>
  <si>
    <t>Payment for ads in QHPCU</t>
  </si>
  <si>
    <t>Producers Payment</t>
  </si>
  <si>
    <t>450 dayans producer - 550 Photoshoot (50 % of the Payment)</t>
  </si>
  <si>
    <t>Mastering Atenea</t>
  </si>
  <si>
    <t>Payment of the missing 50% from the Photoshoot</t>
  </si>
  <si>
    <t>Mastering Heracles</t>
  </si>
  <si>
    <t>Producer Payments mastering Heracles</t>
  </si>
  <si>
    <t>Video Making Hansel Casty</t>
  </si>
  <si>
    <t>Saldo del Video de Hansel Casty</t>
  </si>
  <si>
    <t>Producer Payments mastering Atenea</t>
  </si>
  <si>
    <t>Transferido por remitly a ecby para el pago de los productores</t>
  </si>
  <si>
    <t>Producer Payment</t>
  </si>
  <si>
    <t>Video Making Pulpam Studio</t>
  </si>
  <si>
    <t>Pago Video de Buenota</t>
  </si>
  <si>
    <t>Mastering Ep 2024</t>
  </si>
  <si>
    <t>Pago del 50% de la factura del nuevo EP x Caratura + 3Visualizers</t>
  </si>
  <si>
    <t>Pago de los Productores</t>
  </si>
  <si>
    <t>Producers Payment - Luar</t>
  </si>
  <si>
    <t>Manuel Hernandez Toicen - Producer Payment</t>
  </si>
  <si>
    <t>Flight to Colombia</t>
  </si>
  <si>
    <t>Fliaght Colombia Quito</t>
  </si>
  <si>
    <t>Mateo Damian Sanchez Serrano Pago de Productor sencillo SOLA</t>
  </si>
  <si>
    <t>Saldo de Mateo Damian Sanchez Serrano y adelanto</t>
  </si>
  <si>
    <t>Adelanto Dayan</t>
  </si>
  <si>
    <t>Pago de Mastering Sola</t>
  </si>
  <si>
    <t>Pago por subscribcion de creacion de contenido para dayan</t>
  </si>
  <si>
    <t>Adelanto para gastos EP Ultimo Intento</t>
  </si>
  <si>
    <t>Gastos de Marcketing</t>
  </si>
  <si>
    <t>Google Ads</t>
  </si>
  <si>
    <t>Producer Payment Harberth Lucianil - pagado a Magda Grillet</t>
  </si>
  <si>
    <t>SongTrust</t>
  </si>
  <si>
    <t>Symphonic</t>
  </si>
  <si>
    <t>Lucas Romero</t>
  </si>
  <si>
    <t>Lucas Birgy</t>
  </si>
  <si>
    <t>Hotel.com</t>
  </si>
  <si>
    <t>Airbnb</t>
  </si>
  <si>
    <t>Hertz</t>
  </si>
  <si>
    <t>McDonalds</t>
  </si>
  <si>
    <t>Uber*Trip</t>
  </si>
  <si>
    <t>Mercado Pago</t>
  </si>
  <si>
    <t>Pomifa Pigue</t>
  </si>
  <si>
    <t>LaMoraArroyo</t>
  </si>
  <si>
    <t>Granja Pigue</t>
  </si>
  <si>
    <t>Peuman</t>
  </si>
  <si>
    <t>Shell</t>
  </si>
  <si>
    <t>Uber*Capital</t>
  </si>
  <si>
    <t>American Air</t>
  </si>
  <si>
    <t>Eudoro Cardenas</t>
  </si>
  <si>
    <t>Producción de composición de los temas "CULEO" &amp; "No Puedo Decifrar"</t>
  </si>
  <si>
    <t>Gastos de Videos Musicales</t>
  </si>
  <si>
    <t>Gastos Víaticos</t>
  </si>
  <si>
    <t>Gastos Víaticos en Argentina</t>
  </si>
  <si>
    <t>Vuelo SJU -MIA / MIA - EZE</t>
  </si>
  <si>
    <t>Pago de Productor Eudoro Cardenas</t>
  </si>
  <si>
    <t xml:space="preserve">Pago al Compositor </t>
  </si>
  <si>
    <t>VTMAC</t>
  </si>
  <si>
    <t>Pago de un Serv, de H</t>
  </si>
  <si>
    <t xml:space="preserve">Arte Video Hache </t>
  </si>
  <si>
    <t>Video Vestuario, Conjunto Rojo, Crema</t>
  </si>
  <si>
    <t>Pago Servicios de Peluqueria</t>
  </si>
  <si>
    <t>Pago Video de Hache</t>
  </si>
  <si>
    <t xml:space="preserve">Alquiler de Un Equipo </t>
  </si>
  <si>
    <t>Pago del Video de H</t>
  </si>
  <si>
    <t>Pago Marcio Y Recorte de Video</t>
  </si>
  <si>
    <t xml:space="preserve">Mercadeo del Video de H </t>
  </si>
  <si>
    <t>Director de Camara</t>
  </si>
  <si>
    <t>Asistente de Camara</t>
  </si>
  <si>
    <t>Gaffer</t>
  </si>
  <si>
    <t>Asist De Arte</t>
  </si>
  <si>
    <t>Grafitti</t>
  </si>
  <si>
    <t>Pintura Graffiti y Prints</t>
  </si>
  <si>
    <t>Snorricam</t>
  </si>
  <si>
    <t>Modelo Principal</t>
  </si>
  <si>
    <t>Cocinera</t>
  </si>
  <si>
    <t>Comida</t>
  </si>
  <si>
    <t>Bebidas</t>
  </si>
  <si>
    <t>Miselaneous</t>
  </si>
  <si>
    <t>Colaboraciones con lennis</t>
  </si>
  <si>
    <t>Soltera &amp; Soltera Remix</t>
  </si>
  <si>
    <t>Trip Luggage</t>
  </si>
  <si>
    <t>Flight</t>
  </si>
  <si>
    <t>Food</t>
  </si>
  <si>
    <t>Avance H</t>
  </si>
  <si>
    <t>PHONE</t>
  </si>
  <si>
    <t xml:space="preserve">Hotel </t>
  </si>
  <si>
    <t>Desde el 06-03-2023 / 04-27-2023</t>
  </si>
  <si>
    <t>Desde el 2018-03 Hasta 2024-04.</t>
  </si>
  <si>
    <t>Adelanto Solicitado</t>
  </si>
  <si>
    <t>Vuelo Mia-Sto Dgo</t>
  </si>
  <si>
    <t>Reguetonera  Anuel</t>
  </si>
  <si>
    <t xml:space="preserve">Pago del Security Theft </t>
  </si>
  <si>
    <t>Ingresos SongTrust</t>
  </si>
  <si>
    <t>Avance H paypal</t>
  </si>
  <si>
    <t>Avance H Remitly</t>
  </si>
  <si>
    <t>Bryan A. Taveras/798923892 </t>
  </si>
  <si>
    <t>Eco Music Services</t>
  </si>
  <si>
    <t>Aracelis Marte</t>
  </si>
  <si>
    <t>YSMEL STEVEN ABREU/8300360562 </t>
  </si>
  <si>
    <t>IVETTE VIRGINIA BATISTA/798312948 </t>
  </si>
  <si>
    <t>SR ELIO E LISSANDRELLO NUNEZ/820708964 </t>
  </si>
  <si>
    <t>JULIAN E ROA/793978644 </t>
  </si>
  <si>
    <t>JUAN CARLOS PAULINO/809934821 </t>
  </si>
  <si>
    <t>ERIC ALVAREZ/86277847673 </t>
  </si>
  <si>
    <t>Mono Polio Midia</t>
  </si>
  <si>
    <t>Eduardo Dreyer</t>
  </si>
  <si>
    <t>Hunter</t>
  </si>
  <si>
    <t>Alfonso</t>
  </si>
  <si>
    <t>Joan</t>
  </si>
  <si>
    <t>Jacu</t>
  </si>
  <si>
    <t>Elisabeth Comabella ( Eco Music)</t>
  </si>
  <si>
    <t>Star Island LLC / La familia</t>
  </si>
  <si>
    <t>Frontier</t>
  </si>
  <si>
    <t>jetblue</t>
  </si>
  <si>
    <t>Bebos Café</t>
  </si>
  <si>
    <t>Avance</t>
  </si>
  <si>
    <t>APPLE STORE</t>
  </si>
  <si>
    <t>Premium Gold</t>
  </si>
  <si>
    <t>Gastos en USA</t>
  </si>
  <si>
    <t>Retenciones de BMI</t>
  </si>
  <si>
    <t>Legendary Music</t>
  </si>
  <si>
    <t>Retenciones BMI</t>
  </si>
  <si>
    <t>Solicitud de Avance</t>
  </si>
  <si>
    <t>Avance realizado (TYS)</t>
  </si>
  <si>
    <t>Seguro de Apple</t>
  </si>
  <si>
    <t>Avance Hache Remitly</t>
  </si>
  <si>
    <t>Compra de Pasajes para campamento en Colombia</t>
  </si>
  <si>
    <t>Correo Electrónico</t>
  </si>
  <si>
    <t>Miguel Alejandro Sanchez</t>
  </si>
  <si>
    <t>Apellidos</t>
  </si>
  <si>
    <t>Giler</t>
  </si>
  <si>
    <t>Marval Camero</t>
  </si>
  <si>
    <t>Arteaga</t>
  </si>
  <si>
    <t>Velazquez</t>
  </si>
  <si>
    <t>Perea Añez</t>
  </si>
  <si>
    <t>Valdivieso Duarte</t>
  </si>
  <si>
    <t>Sanchez</t>
  </si>
  <si>
    <t>Nizco Chaparro</t>
  </si>
  <si>
    <t>Guzmán Velásquez</t>
  </si>
  <si>
    <t>No.</t>
  </si>
  <si>
    <t>Taveras</t>
  </si>
  <si>
    <t>Celis Marin</t>
  </si>
  <si>
    <t>Campoverde</t>
  </si>
  <si>
    <t>Arias</t>
  </si>
  <si>
    <t>Cuadrado</t>
  </si>
  <si>
    <t>Rodriguez</t>
  </si>
  <si>
    <t>Nombres</t>
  </si>
  <si>
    <t>Luis Guillermo</t>
  </si>
  <si>
    <t>Jesus Alberto</t>
  </si>
  <si>
    <t>Jordy Camilo</t>
  </si>
  <si>
    <t>Jose Luis</t>
  </si>
  <si>
    <t>Erick Andres</t>
  </si>
  <si>
    <t>William</t>
  </si>
  <si>
    <t>Daniel</t>
  </si>
  <si>
    <t>Miguel Alejandro</t>
  </si>
  <si>
    <t>Bryan Argenis</t>
  </si>
  <si>
    <t>Erick</t>
  </si>
  <si>
    <t>Juan</t>
  </si>
  <si>
    <t>Franklin</t>
  </si>
  <si>
    <t>Jorlennis</t>
  </si>
  <si>
    <t>Yan Carlo Francisco</t>
  </si>
  <si>
    <t>Teléfono</t>
  </si>
  <si>
    <t>BASE DE DATOS DE CLIENTES</t>
  </si>
  <si>
    <t>Fecha fin:</t>
  </si>
  <si>
    <t>Tipo</t>
  </si>
  <si>
    <t>ESTADO DE CUENTA</t>
  </si>
  <si>
    <t>Retención de Impuestos</t>
  </si>
  <si>
    <t>20% Comisión</t>
  </si>
  <si>
    <t>5% Legal</t>
  </si>
  <si>
    <t>Número</t>
  </si>
  <si>
    <t>Método de pago</t>
  </si>
  <si>
    <t>Valor de la Factura del Cliente</t>
  </si>
  <si>
    <t>Artista:</t>
  </si>
  <si>
    <t>Nombre legal:</t>
  </si>
  <si>
    <t>Fecha de inicio:</t>
  </si>
  <si>
    <t>Royalty BMI</t>
  </si>
  <si>
    <t>TOTAL</t>
  </si>
  <si>
    <t>Pagado por MVPX</t>
  </si>
  <si>
    <t>Ingreso de Regalías Mecanicas</t>
  </si>
  <si>
    <t>Ingreso de Regalías Por Ejecución</t>
  </si>
  <si>
    <t>EQ</t>
  </si>
  <si>
    <t>Rogelio</t>
  </si>
  <si>
    <t>Cromo</t>
  </si>
  <si>
    <t>Pago Otro Round Myke Towers</t>
  </si>
  <si>
    <t>Pago a productor por Servicios en Otro Round</t>
  </si>
  <si>
    <t>Mike Towers Messiah</t>
  </si>
  <si>
    <t>Pago a productor por Servicios en Messiah</t>
  </si>
  <si>
    <t>Adelanto Vía Remitly</t>
  </si>
  <si>
    <t>Avance Solicitado 1803.06 + 3.99 fee</t>
  </si>
  <si>
    <t>Bill</t>
  </si>
  <si>
    <t>To register portion of Dielo's contract atributable to Vfro's work</t>
  </si>
  <si>
    <t>1</t>
  </si>
  <si>
    <t>Invoice</t>
  </si>
  <si>
    <t>Warner Music Mexico</t>
  </si>
  <si>
    <t>Production services- Nib, Justin Quilters, Danny Ocean, Feid - Cuando Amanezca</t>
  </si>
  <si>
    <t>CR Jul 2020 (2)</t>
  </si>
  <si>
    <t>Paid by Luar Collective Inc in favor of debt to Vfro for Warner Music (payable to Luar)</t>
  </si>
  <si>
    <t>CR Jul 2020</t>
  </si>
  <si>
    <t>PAYPAL</t>
  </si>
  <si>
    <t>For services to Warner Music Mexico</t>
  </si>
  <si>
    <t>Zelle</t>
  </si>
  <si>
    <t>Aroldo Contreras / Vfro</t>
  </si>
  <si>
    <t>Transfer Conf # e9abc98e9. Contreras, Aroldo Vfro.</t>
  </si>
  <si>
    <t>Eventhough it was an advance, we owed vfro for Warner's invoice</t>
  </si>
  <si>
    <t>CR Aug 2020 (2)</t>
  </si>
  <si>
    <t>Travel expense for Dielo's video (Jet Blue paid by Owner). Will reduce debt to Vfro for Warner Music</t>
  </si>
  <si>
    <t>CR Aug 2020</t>
  </si>
  <si>
    <t>Payment made by owner to pay part of bill due to Vfro (was send by ATH Movil to Dielo)</t>
  </si>
  <si>
    <t>CR Aug 2020 (3)</t>
  </si>
  <si>
    <t>CR Sep 2020</t>
  </si>
  <si>
    <t>Speakers bought thorugh Luar Collective Inc for Vfro as an Advance</t>
  </si>
  <si>
    <t>Dielo's interscope deal agreement (Payment)</t>
  </si>
  <si>
    <t>Advance for Dielo's contract with interscope</t>
  </si>
  <si>
    <t>Advance made of 25% due to us (Bellella's services) applied to invoice due ($250)</t>
  </si>
  <si>
    <t>Eventhough there were payments made as an advance, it was applied to other bills due</t>
  </si>
  <si>
    <t>13</t>
  </si>
  <si>
    <t>Bellella Records LLC</t>
  </si>
  <si>
    <t>Per Diem charges related to artist "Danny Ocean"</t>
  </si>
  <si>
    <t>Per Diem charge related to artist "Danny Ocean"</t>
  </si>
  <si>
    <t>17</t>
  </si>
  <si>
    <t>Production services for artist "Danny Ocean"</t>
  </si>
  <si>
    <t>Mixing fee " Sin Prisa"</t>
  </si>
  <si>
    <t>Mixing fee" El General"</t>
  </si>
  <si>
    <t>Mixing fee " Mucha Weed"</t>
  </si>
  <si>
    <t>23</t>
  </si>
  <si>
    <t>Remezcla LLC 2656</t>
  </si>
  <si>
    <t>Licensing use: "Canito Flex" for project: Jack Daniels (Job# 2561)</t>
  </si>
  <si>
    <t>24</t>
  </si>
  <si>
    <t>Remezcla LLC</t>
  </si>
  <si>
    <t>Licensing use: "Vomba y Andie (Dielo)" for project: Toyota Sienna (Job# 2557)</t>
  </si>
  <si>
    <t>19</t>
  </si>
  <si>
    <t>Production services for Danny Ocean single "Doritos y Pepsicola"</t>
  </si>
  <si>
    <t>Paid $250 as an advance used for other liabilities due. Had to only pay $735 and instead paid $985.</t>
  </si>
  <si>
    <t>dvance paid over what was due for Remezcla's LLC service ($125 advance applied to any other invoice)</t>
  </si>
  <si>
    <t>Production fee for Dielo's "Sierva Ponte Seria"</t>
  </si>
  <si>
    <t>Producer Fe Van 4 Faltan 20</t>
  </si>
  <si>
    <t>Producer fee for MIXTURES</t>
  </si>
  <si>
    <t>Production fee "Madrugada"</t>
  </si>
  <si>
    <t>Production fee for Dielo's "Gatita"</t>
  </si>
  <si>
    <t>Production fee for Dielo's "No te me Canses"</t>
  </si>
  <si>
    <t>Video edition color and directio creative</t>
  </si>
  <si>
    <t>55</t>
  </si>
  <si>
    <t>WARNER MUSIC SPAIN SL</t>
  </si>
  <si>
    <t xml:space="preserve">Produccion Musical Paula Candejas, Danny Ocean "Cosquillas Diferentes".  </t>
  </si>
  <si>
    <t>28</t>
  </si>
  <si>
    <t>Production services for  Danny Ocean</t>
  </si>
  <si>
    <t>59</t>
  </si>
  <si>
    <t>Collaboration the Vitamin Project # 2656</t>
  </si>
  <si>
    <t>Used to pay two invoices of Danny Ocean that are still due and whta's left is used to pay Dielo's debt (1,905)</t>
  </si>
  <si>
    <t>Avance de pago de Warner u otro proyecto</t>
  </si>
  <si>
    <t>Advance Invoice Danny Ocean</t>
  </si>
  <si>
    <t>To record the progress to deduct with future invoice</t>
  </si>
  <si>
    <t xml:space="preserve">Advance vfro  </t>
  </si>
  <si>
    <t>Advance for payment of Visa Aroldo Contrera</t>
  </si>
  <si>
    <t>Pago Por los Servicios de RCA</t>
  </si>
  <si>
    <t>7</t>
  </si>
  <si>
    <t>Servicios Realizado ARC correspondiente  April y Mach</t>
  </si>
  <si>
    <t>66</t>
  </si>
  <si>
    <t>Servicios de Produccion de Vfro  "Vivo Pensando" THE Change x Loui</t>
  </si>
  <si>
    <t>82</t>
  </si>
  <si>
    <t>Servicios de Produccion de Vfro y Okeiflou en el Tema "Paciente Por Ti"</t>
  </si>
  <si>
    <t>V1FRO</t>
  </si>
  <si>
    <t>Aroldo Contreras</t>
  </si>
  <si>
    <t>Erick CampoVerde</t>
  </si>
  <si>
    <t>Real Hasta La Muerte LLC</t>
  </si>
  <si>
    <t>La Leyenda LLC</t>
  </si>
  <si>
    <t>Rompe Records Music:Ecby (Erick R. Campoverde)</t>
  </si>
  <si>
    <t>Erick Campoverde/ECBY</t>
  </si>
  <si>
    <t>ST Music LLC</t>
  </si>
  <si>
    <t>Avid Technology</t>
  </si>
  <si>
    <t>Julian Jose Coronel Diaz</t>
  </si>
  <si>
    <t>Carlos Arturo Lascano Ruiz/ Kano</t>
  </si>
  <si>
    <t>Western Union PR</t>
  </si>
  <si>
    <t>Cost of providing production services 75% minus $  15 wire transfer fee (Que se Joda)</t>
  </si>
  <si>
    <t>Production Services for Yandel song "Ilegal"</t>
  </si>
  <si>
    <t>Production services for Jay Maly "Mienteme"</t>
  </si>
  <si>
    <t>Production Services for "Leyenda Viva"</t>
  </si>
  <si>
    <t>Payment hotel the Courtyard Sto Dgo</t>
  </si>
  <si>
    <t>Desde el Q3 2020 Hasta Q4 2023</t>
  </si>
  <si>
    <t>Ordenador comprado para ECBY como anticipo</t>
  </si>
  <si>
    <t>Protools para ECBY</t>
  </si>
  <si>
    <t>ECBY avanza para MAC</t>
  </si>
  <si>
    <t>Tasa de envío de dinero a Kano por los servicios de producción de "Ilegal" (Recuperable ECBY)</t>
  </si>
  <si>
    <t>Servicios de producción para "Crush" cubiertos por MVPX en nombre de ECBY (Pago efectuado como anticipo para ECBY)</t>
  </si>
  <si>
    <t>Pago a través de Western Union para el alquiler y la comida + 8 en honorarios (Propietario hizo el pago)</t>
  </si>
  <si>
    <t>Anticipo pagado a través de un préstamo a corto plazo realizado con Gesabeth (160 $ de gastos de transferencia)</t>
  </si>
  <si>
    <t>Envio WU para gastos regulares del mes</t>
  </si>
  <si>
    <t xml:space="preserve">Envio WU para gastos regulares </t>
  </si>
  <si>
    <t>Envio WU para gastos regulares</t>
  </si>
  <si>
    <t>Pagor realizado para registrar a ECBY en Planet Fitness</t>
  </si>
  <si>
    <t>ATH</t>
  </si>
  <si>
    <t>WALLGREEN</t>
  </si>
  <si>
    <t>PIZZA PIRILO</t>
  </si>
  <si>
    <t>FRONTIER</t>
  </si>
  <si>
    <t>Cargo x equipaje del vuelo PR-MIA/MIA-PR</t>
  </si>
  <si>
    <t>Costco Expenses</t>
  </si>
  <si>
    <t>H&amp;M</t>
  </si>
  <si>
    <t>Planet Fitnes</t>
  </si>
  <si>
    <t>Servicios en Tanda, La Escena, Como si fuera uno mas</t>
  </si>
  <si>
    <t>Airplane Ticket Arajet -Guayaquil RD</t>
  </si>
  <si>
    <t>Adelanto solicitado</t>
  </si>
  <si>
    <t>Payment of air ticket from Santo Domingo to Puerto Rico</t>
  </si>
  <si>
    <t>Gastos de Produccion y Grabación</t>
  </si>
  <si>
    <t>Advance to producers</t>
  </si>
  <si>
    <t xml:space="preserve">Avance </t>
  </si>
  <si>
    <t>Beat Gracias al Cielo del Amor y Yo Jay Wheeler</t>
  </si>
  <si>
    <t>Avance Video Renn</t>
  </si>
  <si>
    <t>Factura Luiggi 21</t>
  </si>
  <si>
    <t>Saint LL</t>
  </si>
  <si>
    <t>Ingresos</t>
  </si>
  <si>
    <t>Cesar Da Gold</t>
  </si>
  <si>
    <t>Avance Cesar Pulgarin</t>
  </si>
  <si>
    <t>Saldo de Danny ocean</t>
  </si>
  <si>
    <t>Rimas Music</t>
  </si>
  <si>
    <t>Invoice Polvora 6000, 1000 a marval y 1875 a chochi + 1875 a nikko</t>
  </si>
  <si>
    <t>Abono Invoice No te Enamores</t>
  </si>
  <si>
    <t xml:space="preserve">Invoice No te Enamores se pagaron 2800 en adelantos y el total a pagar era 2600 </t>
  </si>
  <si>
    <t>(1,000.00) Avance 500 Cesar Pulgarin 500 SXNTHI</t>
  </si>
  <si>
    <t>Artent Group SA</t>
  </si>
  <si>
    <t>Factura por servicios brindados en canciones varias (Besos, Pa que llamas, Romance)</t>
  </si>
  <si>
    <t>Carlos Manuel Jr. Agosto</t>
  </si>
  <si>
    <t>Carlos Manuel Jr Agosto</t>
  </si>
  <si>
    <t>Abono por Regalías Mecanicas</t>
  </si>
  <si>
    <t>GianBeat</t>
  </si>
  <si>
    <t>Ingresos 2020Q1-2025Q1</t>
  </si>
  <si>
    <t>Pago por motivo de regalías</t>
  </si>
  <si>
    <t xml:space="preserve">Pago por motivo de regalías </t>
  </si>
  <si>
    <t>SXNTHI</t>
  </si>
  <si>
    <t>Video Ahora con Yeezy</t>
  </si>
  <si>
    <t>Video Yisus Plan</t>
  </si>
  <si>
    <t>Avance Video me dicen el sol</t>
  </si>
  <si>
    <t>Avance de video Ja Morant</t>
  </si>
  <si>
    <t>LANALIZER</t>
  </si>
  <si>
    <t>Q32020</t>
  </si>
  <si>
    <t>Q42020</t>
  </si>
  <si>
    <t>Q12021</t>
  </si>
  <si>
    <t>Q22021</t>
  </si>
  <si>
    <t>Q32021</t>
  </si>
  <si>
    <t>Q42021</t>
  </si>
  <si>
    <t>Q12022</t>
  </si>
  <si>
    <t>Q22022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</si>
  <si>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</si>
  <si>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</si>
  <si>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</si>
  <si>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</si>
  <si>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</si>
  <si>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</si>
  <si>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</si>
  <si>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</si>
  <si>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</si>
  <si>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</si>
  <si>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Q22025</t>
  </si>
  <si>
    <t>Ganga</t>
  </si>
  <si>
    <t>Production Services for Maikel De la Calle &amp; Lennis Rodriguez"Secreto"</t>
  </si>
  <si>
    <t>Brytiago - Condena y Crush</t>
  </si>
  <si>
    <t>Production Services for Ankhal new release "High Class"</t>
  </si>
  <si>
    <t>Production services for Ankhal new release "FRESHY"</t>
  </si>
  <si>
    <t>Production services for single "Mi Carta" by Beele</t>
  </si>
  <si>
    <t>Lanalizer Deal</t>
  </si>
  <si>
    <t>Under Water Music LLC - Porducción de tema Quikie para Deivi</t>
  </si>
  <si>
    <t>Reporte de Regalías de Ejecucion Publica</t>
  </si>
  <si>
    <t>Reporte de Regalías Mecanicas</t>
  </si>
  <si>
    <t>ProducƟon Services for Maikel De la Calle &amp; Lennis Rodriguez"Secreto"</t>
  </si>
  <si>
    <t>Avance Lanalizer</t>
  </si>
  <si>
    <t>Royalty payment for music publishing</t>
  </si>
  <si>
    <t>Pago Regalia de Ganga</t>
  </si>
  <si>
    <t>Pago lanalizer</t>
  </si>
  <si>
    <t>Compra de Equipo Hecha en favor de Lanalizer en Best Buy</t>
  </si>
  <si>
    <t>50% Fee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</si>
  <si>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</si>
  <si>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</si>
  <si>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</si>
  <si>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</si>
  <si>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</si>
  <si>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</si>
  <si>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</si>
  <si>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</si>
  <si>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</si>
  <si>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</si>
  <si>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</si>
  <si>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</si>
  <si>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</si>
  <si>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</si>
  <si>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 xml:space="preserve">Marzo 2024 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</si>
  <si>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</si>
  <si>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</si>
  <si>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</si>
  <si>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</si>
  <si>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</si>
  <si>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</si>
  <si>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</si>
  <si>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</si>
  <si>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</si>
  <si>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</si>
  <si>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</si>
  <si>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</si>
  <si>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</si>
  <si>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</si>
  <si>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</si>
  <si>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</si>
  <si>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Reporte ingresos por la Distribución de Todo a su Tiempo</t>
  </si>
  <si>
    <t xml:space="preserve">Reporte de Regalías Mecanicas </t>
  </si>
  <si>
    <t>10% Comisión</t>
  </si>
  <si>
    <t>Pagos Realizados</t>
  </si>
  <si>
    <t>Alex Nuñez</t>
  </si>
  <si>
    <t>Sra Sara Pimentel</t>
  </si>
  <si>
    <t>Sra Nancy Guzman</t>
  </si>
  <si>
    <t>Uber</t>
  </si>
  <si>
    <t>SuperM Nacional</t>
  </si>
  <si>
    <t>Transporte al campamento</t>
  </si>
  <si>
    <t>Sara Esther Pimentel Nuñez</t>
  </si>
  <si>
    <t>XIOMERI VELOZ</t>
  </si>
  <si>
    <t>smashburger.rd</t>
  </si>
  <si>
    <t>Grabación Alex Nuñez</t>
  </si>
  <si>
    <t>Samuel Velazquez</t>
  </si>
  <si>
    <t>Compra de Carro</t>
  </si>
  <si>
    <t>Pago de Impuesto</t>
  </si>
  <si>
    <t xml:space="preserve">Adelanto </t>
  </si>
  <si>
    <t>aemproducee</t>
  </si>
  <si>
    <t>gym</t>
  </si>
  <si>
    <t>Orbit Cable</t>
  </si>
  <si>
    <t>Pago de la Luz</t>
  </si>
  <si>
    <t>Alquiler de la Casa</t>
  </si>
  <si>
    <t>AIRBNB Campamento</t>
  </si>
  <si>
    <t>Comida Campamento</t>
  </si>
  <si>
    <t>Comida Casa Alex</t>
  </si>
  <si>
    <t>Pago de la renta</t>
  </si>
  <si>
    <t>Yamilex Altagracia</t>
  </si>
  <si>
    <t>Edesur</t>
  </si>
  <si>
    <t>Bravo</t>
  </si>
  <si>
    <t>50 MM ESTUDIOS</t>
  </si>
  <si>
    <t>Bambinos Grill</t>
  </si>
  <si>
    <t>Stom</t>
  </si>
  <si>
    <t>Billy HairDresser Shop</t>
  </si>
  <si>
    <t>Edgar Genao</t>
  </si>
  <si>
    <t>Price Smart</t>
  </si>
  <si>
    <t>Ingreso</t>
  </si>
  <si>
    <t>Colegio Niños</t>
  </si>
  <si>
    <t>Max Ferretería</t>
  </si>
  <si>
    <t>Sirena</t>
  </si>
  <si>
    <t>SR Julio y Surinach Perez</t>
  </si>
  <si>
    <t>Teomedes Cesar Isabel Placencio</t>
  </si>
  <si>
    <t>Samuel Castillo</t>
  </si>
  <si>
    <t>Jonathan Marte</t>
  </si>
  <si>
    <t>Abraham Marte</t>
  </si>
  <si>
    <t>Roosevelt Martinez Rosario</t>
  </si>
  <si>
    <t>Transporte a la Filmacion</t>
  </si>
  <si>
    <t>Comida para la Filmación</t>
  </si>
  <si>
    <t>Adelanto para la visa</t>
  </si>
  <si>
    <t>Transporte para el campamento</t>
  </si>
  <si>
    <t>Comida para campamento</t>
  </si>
  <si>
    <t>Adelanto realizado vía remitly</t>
  </si>
  <si>
    <t>Comida para el 2do Campamento</t>
  </si>
  <si>
    <t>Gastos de Transporte para el Campamento</t>
  </si>
  <si>
    <t>Pago de Comida para el Campamento (Lo pago gesa)</t>
  </si>
  <si>
    <t>Comida para el 2do Campamento (Lo pago Gesa)</t>
  </si>
  <si>
    <t>Grabación de bajo Alex Nuñez</t>
  </si>
  <si>
    <t>Studio Expense</t>
  </si>
  <si>
    <t>Pago 3valtec 480 usd pago de los pianos a 59 dop 60usd cada tema 6 temas</t>
  </si>
  <si>
    <t>Mayella</t>
  </si>
  <si>
    <t>Pago de impuestos para conseguir la licencia</t>
  </si>
  <si>
    <t>Transferencia Gesabeth</t>
  </si>
  <si>
    <t>Transferencia Gesabeth para mudarse</t>
  </si>
  <si>
    <t>Compra de Comida durante la grabación de Discos</t>
  </si>
  <si>
    <t>Pago de los Coristas Vía Jose Miguel</t>
  </si>
  <si>
    <t>Pago de 6 Mezclas para el ep, (1,218.00 usd) Abraham Marte</t>
  </si>
  <si>
    <t>Pago del Gym</t>
  </si>
  <si>
    <t xml:space="preserve">Pago del Cable </t>
  </si>
  <si>
    <t>Pago de Comida Casa Alex</t>
  </si>
  <si>
    <t>Pago del Alquiler de la casa</t>
  </si>
  <si>
    <t>Pago del Airbnb del campamento que se hizo el fin de semana del 11-13 de abril</t>
  </si>
  <si>
    <t>Gastos de comida durante el campamento en abril 2025</t>
  </si>
  <si>
    <t>Pago de Uber niños</t>
  </si>
  <si>
    <t>Gastos de Comida Comprada para la casa</t>
  </si>
  <si>
    <t>Zara pago 10 y gesa 12</t>
  </si>
  <si>
    <t>Alex a Estudio</t>
  </si>
  <si>
    <t>Pago del colegio del Niño de Alex</t>
  </si>
  <si>
    <t>Compra Casa de Alex</t>
  </si>
  <si>
    <t>Fotografías Alex</t>
  </si>
  <si>
    <t>Comida en las sesion de Fotos</t>
  </si>
  <si>
    <t>Sara pago 08 y gesa 14</t>
  </si>
  <si>
    <t>Masaje Alex</t>
  </si>
  <si>
    <t>Preparación para la sesion de fotos de alex</t>
  </si>
  <si>
    <t>50 MM Estudio Pedidos</t>
  </si>
  <si>
    <t>Gasto de Uber del colegio</t>
  </si>
  <si>
    <t>Reparación Celular de Alex Nuñez</t>
  </si>
  <si>
    <t>Sara pago 10 y gesa 12</t>
  </si>
  <si>
    <t>Compra de Comida para la casa de Alex</t>
  </si>
  <si>
    <t>Sara pago 7 y gesa 15</t>
  </si>
  <si>
    <t>Pgo del seguro por el carro</t>
  </si>
  <si>
    <t>Pago a Nancy Guzman por el 80% del monto adeudado</t>
  </si>
  <si>
    <t xml:space="preserve">Compra de Cuadernos para el colegio (40) </t>
  </si>
  <si>
    <t>Papel Cuadriculado y Resma de Papel</t>
  </si>
  <si>
    <t>Compra de Libros del colegio para los hijos de alex</t>
  </si>
  <si>
    <t>Pago a Musicos de Alex (1000 usd)</t>
  </si>
  <si>
    <t>600 usd por arreglos para ep en produccion</t>
  </si>
  <si>
    <t>Gastos del Proyecto de Alex</t>
  </si>
  <si>
    <t>3 Val Tech</t>
  </si>
  <si>
    <t>Arreglo y produccion, post producción y Guitarras</t>
  </si>
  <si>
    <t>Pago vía Bofa</t>
  </si>
  <si>
    <t>Jesus Perea</t>
  </si>
  <si>
    <t>Causa Poblado</t>
  </si>
  <si>
    <t>Natalia Romero</t>
  </si>
  <si>
    <t>EuropaAir</t>
  </si>
  <si>
    <t>El Moli Menjars Valencians</t>
  </si>
  <si>
    <t>El Rincon de Maria</t>
  </si>
  <si>
    <t>Aroma de Mar</t>
  </si>
  <si>
    <t>Avianca</t>
  </si>
  <si>
    <t>bofa</t>
  </si>
  <si>
    <t>wingo</t>
  </si>
  <si>
    <t>remitly</t>
  </si>
  <si>
    <t>TACA AIR</t>
  </si>
  <si>
    <t>EXPIDIA</t>
  </si>
  <si>
    <t>Ingreso del 10% del contrato de Marval</t>
  </si>
  <si>
    <t>Ingreso del 10% del contrato de JROZZ</t>
  </si>
  <si>
    <t>Ingreso del 10% del contrato de JROZZ bmi</t>
  </si>
  <si>
    <t>Pagado por Servicios de ECBY</t>
  </si>
  <si>
    <t>Meal Covered</t>
  </si>
  <si>
    <t>Pasajes Cubiertos, Juan Arias y Jerus Perea 1380 Natalia Romero</t>
  </si>
  <si>
    <t>Europa Air - Gastos Víaticos</t>
  </si>
  <si>
    <t>Se divide entre 5, marval, rozz, super y 2 de lopez</t>
  </si>
  <si>
    <t>Comida en España entre Marval, Rozz, Lopez y Super</t>
  </si>
  <si>
    <t>Pasaje Madrid-Colombia</t>
  </si>
  <si>
    <t>Transferido vía bofa</t>
  </si>
  <si>
    <t>cita de la visa que viajaron a Bogota</t>
  </si>
  <si>
    <t>Pagado a Ingrid Katherin Virviescas Valbuena por la Visa</t>
  </si>
  <si>
    <t>MDE - BOG Gastos de Viaje</t>
  </si>
  <si>
    <t>ESTADIA EN BOGOTA GASTOS COMPARTIDO CON MARVAL</t>
  </si>
  <si>
    <t>BOG - MDE</t>
  </si>
  <si>
    <t>Luis Marval</t>
  </si>
  <si>
    <t>Rene Da Silva</t>
  </si>
  <si>
    <t>Cesar Dajoy</t>
  </si>
  <si>
    <t>Expedia</t>
  </si>
  <si>
    <t>Satena Bogota</t>
  </si>
  <si>
    <t>Luis Enrique Marval Paypal</t>
  </si>
  <si>
    <t>Godaddy luar lo pago</t>
  </si>
  <si>
    <t>Coorporate Filing LLC</t>
  </si>
  <si>
    <t>Microsoft- Discover</t>
  </si>
  <si>
    <t>Mr Marval</t>
  </si>
  <si>
    <t>Luigi SCALETTA</t>
  </si>
  <si>
    <t>Capital One</t>
  </si>
  <si>
    <t>Deposit Warner Music</t>
  </si>
  <si>
    <t>Zelle Luis Enrique</t>
  </si>
  <si>
    <t>Zelle Natalia Romero</t>
  </si>
  <si>
    <t>Europa Air</t>
  </si>
  <si>
    <t>Booking.com</t>
  </si>
  <si>
    <t>El Molino</t>
  </si>
  <si>
    <t>Media Market</t>
  </si>
  <si>
    <t>Sesion en Madrid</t>
  </si>
  <si>
    <t>Gasoleos del Levante</t>
  </si>
  <si>
    <t>Aroma De Mar</t>
  </si>
  <si>
    <t>Estacion Principe</t>
  </si>
  <si>
    <t>Remitly</t>
  </si>
  <si>
    <t>Popular</t>
  </si>
  <si>
    <t>Wingo</t>
  </si>
  <si>
    <t>Coorporate Filing</t>
  </si>
  <si>
    <t>Bofa</t>
  </si>
  <si>
    <t>Chase - TACA AIR</t>
  </si>
  <si>
    <t>Chase - Jet Blue</t>
  </si>
  <si>
    <t>Carmen Luisa Camero Padilla</t>
  </si>
  <si>
    <t>Costco</t>
  </si>
  <si>
    <t>New Taste Chinese</t>
  </si>
  <si>
    <t>Spirit Ariline</t>
  </si>
  <si>
    <t>Transferencia directa popular</t>
  </si>
  <si>
    <t>Iberia</t>
  </si>
  <si>
    <t>Dinamic Records</t>
  </si>
  <si>
    <t>Vintage Kings</t>
  </si>
  <si>
    <t>Iberia Air</t>
  </si>
  <si>
    <t>air europa</t>
  </si>
  <si>
    <t>JetBlue</t>
  </si>
  <si>
    <t>Adelanto vía Zelle</t>
  </si>
  <si>
    <t>Gastos del Team Marval</t>
  </si>
  <si>
    <t>Compra de Boleto para ir a Colombia</t>
  </si>
  <si>
    <t>ADELANTO A RECUPERAR</t>
  </si>
  <si>
    <t>Adelanto a Recuperar</t>
  </si>
  <si>
    <t>Costo del dominio de MARVAL (macaiasongs.com)</t>
  </si>
  <si>
    <t>Amendment filing</t>
  </si>
  <si>
    <t>Adelanto del contrato de Productor a Jeidi</t>
  </si>
  <si>
    <t>Marval Advanced</t>
  </si>
  <si>
    <t>Email Plus Expense (MicaiaSongs)</t>
  </si>
  <si>
    <t>Adelanto al Padre de Marval</t>
  </si>
  <si>
    <t>Advanced Payment</t>
  </si>
  <si>
    <t>Avance Marval Compra de Computadora</t>
  </si>
  <si>
    <t>Pasaje de MDE (Colombia) - CCS (Venezuela)</t>
  </si>
  <si>
    <t>Total Recibido a la fecha</t>
  </si>
  <si>
    <t>Pagado a Matt Greenberg (Legal Services Contrato Pub)</t>
  </si>
  <si>
    <t>Pago del asesoramiento 10%</t>
  </si>
  <si>
    <t xml:space="preserve">Avance  </t>
  </si>
  <si>
    <t>Pago por la empresa de MICAIA SONGS</t>
  </si>
  <si>
    <t>Adelanto de Video</t>
  </si>
  <si>
    <t>Comida en Colombia</t>
  </si>
  <si>
    <t>AirBnB en Colombia</t>
  </si>
  <si>
    <t>Pago de AirBnB en Colombia</t>
  </si>
  <si>
    <t>VISA MARVAL PAGO A BILL MARTINEZ</t>
  </si>
  <si>
    <t>Pasaje Madrid</t>
  </si>
  <si>
    <t>Pasaje de Madrid a Amsterdam</t>
  </si>
  <si>
    <t>Gasto de Hotel  en el Campamento de España (El Mariot)</t>
  </si>
  <si>
    <t>Comida Grupal</t>
  </si>
  <si>
    <t>Compra de Disco Duro</t>
  </si>
  <si>
    <t>Gastos Asumidos por la Cancelación de la Sesion</t>
  </si>
  <si>
    <t>Gasolina en Valencia (42.62 Se dividio entre 3)</t>
  </si>
  <si>
    <t>Comida en España entre Rozz, Super, Lopez y Marval</t>
  </si>
  <si>
    <t>Comida en España Buffet Chino</t>
  </si>
  <si>
    <t>Pagado a Luis Marval Vía Remitly</t>
  </si>
  <si>
    <t>Pago de Maleta Adicional de Madrid a MDE</t>
  </si>
  <si>
    <t>Pagado vía Banco Popular</t>
  </si>
  <si>
    <t>Vuelo de vuelta a caracas gasto de la visa (no se esta sumando</t>
  </si>
  <si>
    <t>Vuelo de Caracas a Medellin</t>
  </si>
  <si>
    <t>Gastos del departamento de estado de la empresa MICAIA SONGS</t>
  </si>
  <si>
    <t>VISA MARVAL PAGO A ADRIANA RODRIGUEZ</t>
  </si>
  <si>
    <t>Adelanto a Jeidi</t>
  </si>
  <si>
    <t>cita de la visa que viajaron a Bogota / Marval Super</t>
  </si>
  <si>
    <t>MDE - BOG Travel Expense</t>
  </si>
  <si>
    <t>GASTOS DE ESTADIA BOGOTA GASTO COMPARTIDO CON SUPER Hyatt</t>
  </si>
  <si>
    <t>BOG - MDE Travel Expense</t>
  </si>
  <si>
    <t>MDE - Flo</t>
  </si>
  <si>
    <t>Team Marval Expense</t>
  </si>
  <si>
    <t>Meal Expense Team Marval</t>
  </si>
  <si>
    <t>Gastos de Comida en el Campamento de PR</t>
  </si>
  <si>
    <t>Gastos de Jade - Marval Maletas Caracas MDE</t>
  </si>
  <si>
    <t>Gastos de Jade - Marval Vuelo CCS - MDE</t>
  </si>
  <si>
    <t>Gastos de Jade - Marval Maletas MDE - FLL</t>
  </si>
  <si>
    <t>Gastos de Jade - Marval Vuelo MDE - FLL</t>
  </si>
  <si>
    <t>Gastos de Vuelo SJU - FLL</t>
  </si>
  <si>
    <t>Vuelo FLL - SJU</t>
  </si>
  <si>
    <t xml:space="preserve">Vuelo Jade Mia - Madrid </t>
  </si>
  <si>
    <t>Pago por Produccion del tema Mejor que tu</t>
  </si>
  <si>
    <t>Travel Expense Mia - Ibiza</t>
  </si>
  <si>
    <t>Neumann U 87 AI Set Z</t>
  </si>
  <si>
    <t>Madrid Ibiza</t>
  </si>
  <si>
    <t>Pago de Madrid a Caracas Ven 2 boletos - Marval - Jade</t>
  </si>
  <si>
    <t>Pago por equipaje</t>
  </si>
  <si>
    <t>Gastos de Viave</t>
  </si>
  <si>
    <t>Pasajes Medellin Florida</t>
  </si>
  <si>
    <t>Adelanto vía Zelle Marval</t>
  </si>
  <si>
    <t>Gastos de Airbnb  de la finca villa grande La Masia</t>
  </si>
  <si>
    <t>JayRozz</t>
  </si>
  <si>
    <t>Jaime Hospedales</t>
  </si>
  <si>
    <t>Pull&amp;Bear</t>
  </si>
  <si>
    <t>Rito y Monte MDE</t>
  </si>
  <si>
    <t>AirBnB</t>
  </si>
  <si>
    <t>Bill Martinez</t>
  </si>
  <si>
    <t>Vueling Airlines</t>
  </si>
  <si>
    <t>Air Europa</t>
  </si>
  <si>
    <t xml:space="preserve">El Ricon de Maria </t>
  </si>
  <si>
    <t>Apple Store</t>
  </si>
  <si>
    <t>Zara</t>
  </si>
  <si>
    <t>PRIMARK VALENCIA RUZAFA VALENCIA</t>
  </si>
  <si>
    <t>Pavarotti Pizzas Valencia</t>
  </si>
  <si>
    <t>GASOLEOS DEL LEVANTE</t>
  </si>
  <si>
    <t>AIRBNB</t>
  </si>
  <si>
    <t>JETBLUE     2797203672135</t>
  </si>
  <si>
    <t>NewTasteChinese</t>
  </si>
  <si>
    <t>Spirit Airlines</t>
  </si>
  <si>
    <t>STEVAN MICHEO MUSIC</t>
  </si>
  <si>
    <t>Ryanair Limited</t>
  </si>
  <si>
    <t>Plus Ultra</t>
  </si>
  <si>
    <t>Corporate Fillings</t>
  </si>
  <si>
    <t>Deposito Rozz</t>
  </si>
  <si>
    <t>Diana Luz Vasquez</t>
  </si>
  <si>
    <t>Adelantos a Jaime Hospedales</t>
  </si>
  <si>
    <t xml:space="preserve">Adelanto Solicitado </t>
  </si>
  <si>
    <t>Compra de Ropa</t>
  </si>
  <si>
    <t>Pago de AirBnB Colombia</t>
  </si>
  <si>
    <t>Pago ABOGADO POR LA VISA</t>
  </si>
  <si>
    <t>Pasaje Juan Arias y Jesus Perea 1380</t>
  </si>
  <si>
    <t>Comida en España</t>
  </si>
  <si>
    <t>Vuelo para Amsterdam Cargo de la Maleta</t>
  </si>
  <si>
    <t>Vuelo para Amsterdam</t>
  </si>
  <si>
    <t>Vuelo de Regreso de Amsterdam</t>
  </si>
  <si>
    <t>Comida en España 246.69 entre 4 personas</t>
  </si>
  <si>
    <t>Compra de Iphone</t>
  </si>
  <si>
    <t>Compra de Ropa con la tarjeta Chase</t>
  </si>
  <si>
    <t>Gastos con la tarjeta Chase</t>
  </si>
  <si>
    <t xml:space="preserve">Compra de Comida </t>
  </si>
  <si>
    <t>Comida en España 262.05 entre 4 personas</t>
  </si>
  <si>
    <t>Pasaje de Regreso Madrid Venezuela</t>
  </si>
  <si>
    <t>Contrato Warner</t>
  </si>
  <si>
    <t>Madrid-Venezuela</t>
  </si>
  <si>
    <t>Pasaje VEN-MED /MED-VEN (Cuñado Soccer)</t>
  </si>
  <si>
    <t>Compra lo que quieras Corp</t>
  </si>
  <si>
    <t>Pago de Airbnb Medellin Colombia</t>
  </si>
  <si>
    <t>Devolucion de Impuestos pagados en España</t>
  </si>
  <si>
    <t>Contrato Warner Pago Pendiente 01/01/2025</t>
  </si>
  <si>
    <t>Hyatt BogotaConvention Center</t>
  </si>
  <si>
    <t>Pasaje Wingo de Caracas a Medellin</t>
  </si>
  <si>
    <t>Pasaje MDE BOG</t>
  </si>
  <si>
    <t>Pasaje de Avianca Medellin a Bogota (Pantera)</t>
  </si>
  <si>
    <t>Pasaje de Avianca Medellin a Bogota</t>
  </si>
  <si>
    <t>Travel Expense Hyaat Hotel Visa-Jay Rozz - William Arteaga</t>
  </si>
  <si>
    <t>Pago de estadia  Dajoy - Jeidi - Rozz</t>
  </si>
  <si>
    <t>AIRBNB VISA APPOINTMENT</t>
  </si>
  <si>
    <t>Gastos de Viaje Jay Rozz</t>
  </si>
  <si>
    <t>Gastos de Comida en Campamento PR</t>
  </si>
  <si>
    <t>Vuelo SJU - FLL</t>
  </si>
  <si>
    <t>Equipo</t>
  </si>
  <si>
    <t>Vuelo MIA IBIZA</t>
  </si>
  <si>
    <t>MADRID-MIAMI TRAVEL EXPENSE</t>
  </si>
  <si>
    <t>Vuelo de Ibiza a Madrid</t>
  </si>
  <si>
    <t>Pago de equipaje Vuelo Ibiza Madrid</t>
  </si>
  <si>
    <t>Vuelo Caracas Madrid - La Toxica</t>
  </si>
  <si>
    <t>Preparacion de Documentación de JROZZ LLC</t>
  </si>
  <si>
    <t>Pagp de Vuelo - La Toxica</t>
  </si>
  <si>
    <t>Retencion de Ingresos de Bellakeo</t>
  </si>
  <si>
    <t>Retencion de Gastos Legales de Bellakeo</t>
  </si>
  <si>
    <t>Travel Expense Iriannys Pinzon (La Toxica)</t>
  </si>
  <si>
    <t>Travel Expense Juan Arias (Rozz)</t>
  </si>
  <si>
    <t>Rozz Deposito en el Bofa</t>
  </si>
  <si>
    <t>Pago de estadia para Campamento en Colombia Vía Remitly</t>
  </si>
  <si>
    <t>Jet Blue</t>
  </si>
  <si>
    <t>Reseteo del Site Visa</t>
  </si>
  <si>
    <t>Vuelo Colombia</t>
  </si>
  <si>
    <t>Gastos de viaje</t>
  </si>
  <si>
    <t>Gastos de Comida Costco Camp PR</t>
  </si>
  <si>
    <t>COSTCO</t>
  </si>
  <si>
    <t>Spirit</t>
  </si>
  <si>
    <t>Vuelo San Juan - FLL</t>
  </si>
  <si>
    <t>JETBLUE</t>
  </si>
  <si>
    <t>Tuyo</t>
  </si>
  <si>
    <t>Dynamic Records</t>
  </si>
  <si>
    <t>Iberia0151</t>
  </si>
  <si>
    <t>Ryanair</t>
  </si>
  <si>
    <t>DE TO</t>
  </si>
  <si>
    <t>Vuelo Ida Y vuelta Colimbia Avianca</t>
  </si>
  <si>
    <t>Travel Expense Hyaat Hotel Visa- Rene Da Silva</t>
  </si>
  <si>
    <t>Gastos de Transprte por Campamento</t>
  </si>
  <si>
    <t>Servicios de Producción de Tuyo - Marval</t>
  </si>
  <si>
    <t>Ingreso Dynamic Records por la produccion del tema Mejor Que Tu</t>
  </si>
  <si>
    <t xml:space="preserve">Vuelo a Madrid-Medellin </t>
  </si>
  <si>
    <t>Vuelo Ibiza VLC</t>
  </si>
  <si>
    <t>Servicios de Producción de DE TO - Saint LL</t>
  </si>
  <si>
    <t>Ingrid Katherine</t>
  </si>
  <si>
    <t>Jetblue</t>
  </si>
  <si>
    <t>Amazon</t>
  </si>
  <si>
    <t>WINGO Gastos de Viaje</t>
  </si>
  <si>
    <t>Vuelo MDE BOG</t>
  </si>
  <si>
    <t>Travel Expense Hyaat Hotel Visa-CesarDajoy</t>
  </si>
  <si>
    <t>Pago de Airbnb Rozz, Jeidi, Dajoy</t>
  </si>
  <si>
    <t>Pago de Comida Campamento PR</t>
  </si>
  <si>
    <t>Boletos de Jet Blue</t>
  </si>
  <si>
    <t>Maletas de Jet Blue</t>
  </si>
  <si>
    <t xml:space="preserve">Vuelo +  Maletas de San Juan Florida </t>
  </si>
  <si>
    <t>Computer</t>
  </si>
  <si>
    <t>Wingo Iberia Expense</t>
  </si>
  <si>
    <t xml:space="preserve">Vuelo SJU -MDE </t>
  </si>
  <si>
    <t xml:space="preserve">Airbnb Visa Appointment </t>
  </si>
  <si>
    <t>Jeidi</t>
  </si>
  <si>
    <t>Hasta el Q2 2024 BMI</t>
  </si>
  <si>
    <t>Ingresos de Bellakeo</t>
  </si>
  <si>
    <t>Tema Loco si</t>
  </si>
  <si>
    <t>HECTOR NADIEL HURTADO</t>
  </si>
  <si>
    <t>ELIAS AS YOUSEF</t>
  </si>
  <si>
    <t>Avance (firma de jeidi)</t>
  </si>
  <si>
    <t>Avance (firma de jeidi) Marval</t>
  </si>
  <si>
    <t>BarbaraDoza</t>
  </si>
  <si>
    <t>Cold Frio</t>
  </si>
  <si>
    <t>Rafael Garrido</t>
  </si>
  <si>
    <t>RA-ED HADDAD NADER</t>
  </si>
  <si>
    <t>Elias assy</t>
  </si>
  <si>
    <t>FERREAPRISA</t>
  </si>
  <si>
    <t>Rafael Garrido -ASTRO</t>
  </si>
  <si>
    <t xml:space="preserve">Elias assy </t>
  </si>
  <si>
    <t>Wingo Gastos de Viaje</t>
  </si>
  <si>
    <t>Travel Expense Hyaat Hotel Visa-Jeidi</t>
  </si>
  <si>
    <t>Gasto de Comida Camp PR NewTasteChinese</t>
  </si>
  <si>
    <t>Gasto de Comida Camp PR Costco</t>
  </si>
  <si>
    <t>Jet Blue Gastos de Viaje</t>
  </si>
  <si>
    <t>Airbnb on the Visa Expense</t>
  </si>
  <si>
    <t>Wingo Viaje MDE CCS</t>
  </si>
  <si>
    <t>Gineska Cervantes</t>
  </si>
  <si>
    <t>Elias Assy</t>
  </si>
  <si>
    <t>Pago de Contenido Autentico</t>
  </si>
  <si>
    <t>Zenaida Duarte</t>
  </si>
  <si>
    <t>Pago en el Bofa</t>
  </si>
  <si>
    <t>Wilman Henao</t>
  </si>
  <si>
    <t>Michelle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</si>
</sst>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[$-409]d\-mmm\-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Kalinga"/>
      <family val="2"/>
    </font>
    <font>
      <sz val="11"/>
      <color theme="1"/>
      <name val="Kalinga"/>
      <family val="2"/>
    </font>
    <font>
      <sz val="11"/>
      <color theme="1"/>
      <name val="Kalinga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Kalinga"/>
      <family val="2"/>
    </font>
    <font>
      <u/>
      <sz val="11"/>
      <color theme="10"/>
      <name val="Kalinga"/>
      <family val="2"/>
    </font>
    <font>
      <b/>
      <sz val="16"/>
      <color theme="1"/>
      <name val="Kaling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44" fontId="0" fillId="0" borderId="1" xfId="1" applyFont="1" applyBorder="1"/>
    <xf numFmtId="0" fontId="3" fillId="3" borderId="0" xfId="0" applyFont="1" applyFill="1"/>
    <xf numFmtId="0" fontId="3" fillId="3" borderId="1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6" fillId="3" borderId="0" xfId="0" applyFont="1" applyFill="1"/>
    <xf numFmtId="0" fontId="6" fillId="4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0" borderId="0" xfId="0" applyFont="1"/>
    <xf numFmtId="0" fontId="5" fillId="0" borderId="0" xfId="2"/>
    <xf numFmtId="0" fontId="8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6" fillId="0" borderId="6" xfId="0" applyFont="1" applyBorder="1"/>
    <xf numFmtId="0" fontId="3" fillId="0" borderId="7" xfId="0" applyFont="1" applyBorder="1"/>
    <xf numFmtId="0" fontId="6" fillId="0" borderId="7" xfId="0" applyFont="1" applyBorder="1" applyAlignment="1">
      <alignment vertical="top"/>
    </xf>
    <xf numFmtId="0" fontId="3" fillId="0" borderId="8" xfId="0" applyFont="1" applyBorder="1"/>
    <xf numFmtId="0" fontId="6" fillId="0" borderId="13" xfId="0" applyFont="1" applyBorder="1"/>
    <xf numFmtId="0" fontId="3" fillId="0" borderId="14" xfId="0" applyFont="1" applyBorder="1"/>
    <xf numFmtId="0" fontId="6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6" fillId="0" borderId="10" xfId="0" applyFont="1" applyBorder="1"/>
    <xf numFmtId="0" fontId="6" fillId="0" borderId="11" xfId="0" applyFont="1" applyBorder="1"/>
    <xf numFmtId="0" fontId="3" fillId="0" borderId="9" xfId="0" applyFont="1" applyBorder="1" applyAlignment="1">
      <alignment vertical="center" wrapText="1"/>
    </xf>
    <xf numFmtId="44" fontId="3" fillId="0" borderId="9" xfId="1" applyFont="1" applyBorder="1" applyAlignment="1">
      <alignment vertical="center" wrapText="1"/>
    </xf>
    <xf numFmtId="44" fontId="3" fillId="0" borderId="19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4" fontId="3" fillId="0" borderId="1" xfId="1" applyFont="1" applyBorder="1" applyAlignment="1">
      <alignment vertical="center" wrapText="1"/>
    </xf>
    <xf numFmtId="44" fontId="3" fillId="0" borderId="5" xfId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4" fontId="3" fillId="0" borderId="3" xfId="1" applyFont="1" applyBorder="1" applyAlignment="1">
      <alignment vertical="center" wrapText="1"/>
    </xf>
    <xf numFmtId="44" fontId="3" fillId="0" borderId="24" xfId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5" borderId="11" xfId="0" applyFont="1" applyFill="1" applyBorder="1"/>
    <xf numFmtId="44" fontId="6" fillId="5" borderId="11" xfId="0" applyNumberFormat="1" applyFont="1" applyFill="1" applyBorder="1"/>
    <xf numFmtId="44" fontId="6" fillId="5" borderId="12" xfId="0" applyNumberFormat="1" applyFont="1" applyFill="1" applyBorder="1"/>
    <xf numFmtId="164" fontId="3" fillId="0" borderId="0" xfId="0" applyNumberFormat="1" applyFont="1" applyAlignment="1">
      <alignment horizontal="left"/>
    </xf>
    <xf numFmtId="164" fontId="3" fillId="0" borderId="16" xfId="0" applyNumberFormat="1" applyFont="1" applyBorder="1" applyAlignment="1">
      <alignment horizontal="left"/>
    </xf>
    <xf numFmtId="0" fontId="6" fillId="5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4" fontId="3" fillId="0" borderId="0" xfId="1" applyFont="1"/>
    <xf numFmtId="44" fontId="2" fillId="0" borderId="1" xfId="1" applyFont="1" applyBorder="1" applyAlignment="1">
      <alignment vertical="center" wrapText="1"/>
    </xf>
    <xf numFmtId="165" fontId="3" fillId="0" borderId="18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165" fontId="3" fillId="0" borderId="23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165" fontId="3" fillId="0" borderId="2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44" fontId="3" fillId="0" borderId="1" xfId="1" applyFont="1" applyFill="1" applyBorder="1" applyAlignment="1">
      <alignment vertical="center" wrapText="1"/>
    </xf>
    <xf numFmtId="44" fontId="3" fillId="0" borderId="19" xfId="1" applyFont="1" applyFill="1" applyBorder="1" applyAlignment="1">
      <alignment vertical="center" wrapText="1"/>
    </xf>
    <xf numFmtId="44" fontId="2" fillId="0" borderId="1" xfId="1" applyFont="1" applyFill="1" applyBorder="1" applyAlignment="1">
      <alignment vertical="center" wrapText="1"/>
    </xf>
    <xf numFmtId="44" fontId="2" fillId="0" borderId="4" xfId="1" applyFont="1" applyFill="1" applyBorder="1" applyAlignment="1">
      <alignment vertical="center" wrapText="1"/>
    </xf>
    <xf numFmtId="44" fontId="8" fillId="0" borderId="0" xfId="1" applyFont="1" applyAlignment="1">
      <alignment vertical="top"/>
    </xf>
    <xf numFmtId="44" fontId="5" fillId="0" borderId="0" xfId="1" applyFont="1"/>
    <xf numFmtId="44" fontId="6" fillId="5" borderId="21" xfId="1" applyFont="1" applyFill="1" applyBorder="1" applyAlignment="1">
      <alignment horizontal="center" vertical="center" wrapText="1"/>
    </xf>
    <xf numFmtId="44" fontId="6" fillId="5" borderId="11" xfId="1" applyFont="1" applyFill="1" applyBorder="1"/>
    <xf numFmtId="44" fontId="3" fillId="0" borderId="4" xfId="1" applyFont="1" applyBorder="1" applyAlignment="1">
      <alignment vertical="center" wrapText="1"/>
    </xf>
    <xf numFmtId="44" fontId="2" fillId="0" borderId="9" xfId="1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4" fontId="2" fillId="0" borderId="3" xfId="1" applyFont="1" applyBorder="1" applyAlignment="1">
      <alignment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0" xfId="0" applyFont="1"/>
    <xf numFmtId="164" fontId="1" fillId="0" borderId="2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4" fontId="1" fillId="0" borderId="1" xfId="1" applyFont="1" applyBorder="1" applyAlignment="1">
      <alignment vertical="center" wrapText="1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9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5" formatCode="[$-409]d\-mmm\-yy;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5" formatCode="[$-409]d\-mmm\-yy;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5" formatCode="[$-409]d\-mmm\-yy;@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numFmt numFmtId="164" formatCode="mm/dd/yy;@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rgb="FF000000"/>
        </top>
      </border>
    </dxf>
    <dxf>
      <font>
        <b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Kalinga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alinga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1019176</xdr:colOff>
      <xdr:row>3</xdr:row>
      <xdr:rowOff>180111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E4A1AA5-B431-4839-8485-105FE1567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232" b="15801"/>
        <a:stretch/>
      </xdr:blipFill>
      <xdr:spPr>
        <a:xfrm>
          <a:off x="1" y="0"/>
          <a:ext cx="4000500" cy="8659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66676</xdr:rowOff>
    </xdr:from>
    <xdr:to>
      <xdr:col>5</xdr:col>
      <xdr:colOff>773022</xdr:colOff>
      <xdr:row>4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CF11FD-B72B-42E4-A602-48B30D6575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232" b="15801"/>
        <a:stretch/>
      </xdr:blipFill>
      <xdr:spPr>
        <a:xfrm>
          <a:off x="66675" y="66676"/>
          <a:ext cx="3916476" cy="8477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0</xdr:row>
      <xdr:rowOff>0</xdr:rowOff>
    </xdr:from>
    <xdr:to>
      <xdr:col>5</xdr:col>
      <xdr:colOff>739404</xdr:colOff>
      <xdr:row>3</xdr:row>
      <xdr:rowOff>157442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FC6E3E1-3C05-4486-AA8F-2ECF528CAB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232" b="15801"/>
        <a:stretch/>
      </xdr:blipFill>
      <xdr:spPr>
        <a:xfrm>
          <a:off x="44823" y="0"/>
          <a:ext cx="4123581" cy="8432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</xdr:colOff>
      <xdr:row>0</xdr:row>
      <xdr:rowOff>0</xdr:rowOff>
    </xdr:from>
    <xdr:to>
      <xdr:col>5</xdr:col>
      <xdr:colOff>739404</xdr:colOff>
      <xdr:row>3</xdr:row>
      <xdr:rowOff>157442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121A3F8-FC98-472B-9C75-F745A7EB57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232" b="15801"/>
        <a:stretch/>
      </xdr:blipFill>
      <xdr:spPr>
        <a:xfrm>
          <a:off x="44823" y="0"/>
          <a:ext cx="4123581" cy="8432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3EC0D6-E797-431D-A7CC-9CD56CE8DFE7}" name="Table1347" displayName="Table1347" ref="B8:P39" totalsRowCount="1" headerRowDxfId="935" dataDxfId="933" totalsRowDxfId="931" headerRowBorderDxfId="934" tableBorderDxfId="932" totalsRowBorderDxfId="930">
  <autoFilter ref="B8:P38" xr:uid="{D91A5743-CB98-4EFA-AC17-1730C7F56453}"/>
  <tableColumns count="15">
    <tableColumn id="1" xr3:uid="{057092B6-C67E-481B-8E74-E7F663B00E7A}" name="Fecha" dataDxfId="929" totalsRowDxfId="928"/>
    <tableColumn id="2" xr3:uid="{5C80C8EE-DD00-4EEC-9E44-8293571B0C47}" name="Número" dataDxfId="927" totalsRowDxfId="926"/>
    <tableColumn id="3" xr3:uid="{B44761A5-0D88-442F-97CA-8AAA1CFD8D03}" name="Tipo" dataDxfId="925" totalsRowDxfId="924"/>
    <tableColumn id="4" xr3:uid="{B55BD581-731C-4913-8240-66CDB3CA8E08}" name="Método de pago" dataDxfId="923" totalsRowDxfId="922"/>
    <tableColumn id="5" xr3:uid="{A75AD600-69D0-4A89-91B3-0AF70935FB46}" name="Nombre" dataDxfId="921" totalsRowDxfId="920"/>
    <tableColumn id="6" xr3:uid="{0075EF5E-8176-4F26-835A-E8B9CAA470D7}" name="Concepto" totalsRowLabel="TOTAL" dataDxfId="919" totalsRowDxfId="918"/>
    <tableColumn id="7" xr3:uid="{2A625105-CBFD-461E-A40F-0112A65E20D5}" name="Valor de la Factura del Cliente" totalsRowFunction="sum" dataDxfId="917" totalsRowDxfId="916" dataCellStyle="Currency"/>
    <tableColumn id="8" xr3:uid="{F4169219-4413-4D1F-A32A-57B5D04D6F1F}" name="Cargos Bancarios" totalsRowFunction="sum" dataDxfId="915" totalsRowDxfId="914" dataCellStyle="Currency"/>
    <tableColumn id="15" xr3:uid="{23621C96-500B-4BB4-94EA-EF09D4DB1112}" name="50% Fee" dataDxfId="913" totalsRowDxfId="912" dataCellStyle="Currency"/>
    <tableColumn id="9" xr3:uid="{871DB3EE-9ABE-4DB6-AAF6-5FEA1801DA0B}" name="20% Comisión" totalsRowFunction="sum" dataDxfId="911" totalsRowDxfId="910" dataCellStyle="Currency"/>
    <tableColumn id="10" xr3:uid="{53904260-9858-423E-A382-44DA16862065}" name="5% Legal" totalsRowFunction="sum" dataDxfId="909" totalsRowDxfId="908" dataCellStyle="Currency"/>
    <tableColumn id="11" xr3:uid="{3F19E35C-3EEA-4E0A-82CE-8F28CC378590}" name="Retención de Impuestos" totalsRowFunction="sum" dataDxfId="907" totalsRowDxfId="906" dataCellStyle="Currency"/>
    <tableColumn id="12" xr3:uid="{28907B78-63F4-47A7-83EB-124A1EAA7239}" name="Pagado por MVPX" totalsRowFunction="sum" dataDxfId="905" totalsRowDxfId="904" dataCellStyle="Currency"/>
    <tableColumn id="13" xr3:uid="{D41132CF-9DA9-4D48-A090-7C8DF3CE64D2}" name="Avance" totalsRowFunction="sum" dataDxfId="903" totalsRowDxfId="902" dataCellStyle="Currency"/>
    <tableColumn id="14" xr3:uid="{8D615115-E92F-4AA2-A8AF-E1BEF2551D71}" name="Balance" totalsRowFunction="custom" dataDxfId="901" totalsRowDxfId="900" dataCellStyle="Currency">
      <totalsRowFormula>+P38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1D790EB-4781-45A1-B9F8-E712835B2D55}" name="Table134732" displayName="Table134732" ref="B8:P80" totalsRowCount="1" headerRowDxfId="899" dataDxfId="897" totalsRowDxfId="895" headerRowBorderDxfId="898" tableBorderDxfId="896" totalsRowBorderDxfId="894">
  <autoFilter ref="B8:P79" xr:uid="{D91A5743-CB98-4EFA-AC17-1730C7F56453}"/>
  <tableColumns count="15">
    <tableColumn id="1" xr3:uid="{0461B003-D941-42C2-B7EF-DF6FB2772190}" name="Fecha" dataDxfId="893" totalsRowDxfId="892"/>
    <tableColumn id="2" xr3:uid="{E48C2447-57B6-46CD-84B3-8D20532647FB}" name="Número" dataDxfId="891" totalsRowDxfId="890"/>
    <tableColumn id="3" xr3:uid="{79A3C2C6-FFED-49FF-B288-EB2AB2FD056A}" name="Tipo" dataDxfId="889" totalsRowDxfId="888"/>
    <tableColumn id="4" xr3:uid="{F3641310-CB36-4867-A4FF-2DB4F794CD0D}" name="Método de pago" dataDxfId="887" totalsRowDxfId="886"/>
    <tableColumn id="5" xr3:uid="{2A0DED17-FBA4-467F-8706-687C07033465}" name="Nombre" dataDxfId="885" totalsRowDxfId="884"/>
    <tableColumn id="6" xr3:uid="{C879E156-1306-47B2-894A-C552286787B4}" name="Concepto" totalsRowLabel="TOTAL" dataDxfId="883" totalsRowDxfId="882"/>
    <tableColumn id="7" xr3:uid="{34144C36-3213-4CE1-BE32-A2651C5A567C}" name="Valor de la Factura del Cliente" totalsRowFunction="sum" dataDxfId="881" totalsRowDxfId="880" dataCellStyle="Currency"/>
    <tableColumn id="8" xr3:uid="{DA3C2DA1-1753-4F95-AE5F-35BB15A4DDE7}" name="Cargos Bancarios" totalsRowFunction="sum" dataDxfId="879" totalsRowDxfId="878" dataCellStyle="Currency"/>
    <tableColumn id="15" xr3:uid="{5DCDADBA-C2EC-4257-A1BD-9A27AA082909}" name="50% Fee" dataDxfId="877" totalsRowDxfId="876" dataCellStyle="Currency"/>
    <tableColumn id="9" xr3:uid="{5D07AF4A-B36B-4D8A-8542-CA34EBBE4BB6}" name="20% Comisión" totalsRowFunction="sum" dataDxfId="875" totalsRowDxfId="874" dataCellStyle="Currency"/>
    <tableColumn id="10" xr3:uid="{92A20618-6FF6-459B-88B8-362980FC7EAD}" name="5% Legal" totalsRowFunction="sum" dataDxfId="873" totalsRowDxfId="872" dataCellStyle="Currency"/>
    <tableColumn id="11" xr3:uid="{650994F8-0EB3-4F66-BC13-8F508676BB4B}" name="Retención de Impuestos" totalsRowFunction="sum" dataDxfId="871" totalsRowDxfId="870" dataCellStyle="Currency"/>
    <tableColumn id="12" xr3:uid="{7334B273-8263-4D18-A330-28BCA8F67637}" name="Pagado por MVPX" totalsRowFunction="sum" dataDxfId="869" totalsRowDxfId="868" dataCellStyle="Currency"/>
    <tableColumn id="13" xr3:uid="{EAE9DD63-583D-4BCA-88B9-6425C5C8D451}" name="Avance" totalsRowFunction="sum" dataDxfId="867" totalsRowDxfId="866" dataCellStyle="Currency"/>
    <tableColumn id="14" xr3:uid="{8B6DA975-1A49-4099-9CA1-2FC056096DAD}" name="Balance" totalsRowFunction="custom" dataDxfId="865" totalsRowDxfId="864" dataCellStyle="Currency">
      <totalsRowFormula>+P79</totalsRow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6F1F0F1-7C81-43B2-B2E9-AE68B04A39CE}" name="Table134731" displayName="Table134731" ref="B8:P28" totalsRowCount="1" headerRowDxfId="863" dataDxfId="861" totalsRowDxfId="859" headerRowBorderDxfId="862" tableBorderDxfId="860" totalsRowBorderDxfId="858">
  <autoFilter ref="B8:P27" xr:uid="{D91A5743-CB98-4EFA-AC17-1730C7F56453}"/>
  <tableColumns count="15">
    <tableColumn id="1" xr3:uid="{4CAF7B32-08B1-48E0-BC45-882606AD2C14}" name="Fecha" dataDxfId="857" totalsRowDxfId="856"/>
    <tableColumn id="2" xr3:uid="{F9063571-81E0-469F-B762-5A0180973A70}" name="Número" dataDxfId="855" totalsRowDxfId="854"/>
    <tableColumn id="3" xr3:uid="{FDA4AFE1-C476-4772-9644-994B2ADA962B}" name="Tipo" dataDxfId="853" totalsRowDxfId="852"/>
    <tableColumn id="4" xr3:uid="{606B4877-B7E9-49C2-807B-8026FB41E34D}" name="Método de pago" dataDxfId="851" totalsRowDxfId="850"/>
    <tableColumn id="5" xr3:uid="{5B46840B-3B7F-4254-9BE6-48D1D4CD592B}" name="Nombre" dataDxfId="849" totalsRowDxfId="848"/>
    <tableColumn id="6" xr3:uid="{20FBE0F4-2656-4E6A-8CCB-C46209ACA103}" name="Concepto" totalsRowLabel="TOTAL" dataDxfId="847" totalsRowDxfId="846"/>
    <tableColumn id="7" xr3:uid="{FEB342C9-6437-4BB8-8DA8-CF41440F368C}" name="Valor de la Factura del Cliente" totalsRowFunction="sum" dataDxfId="845" totalsRowDxfId="844" dataCellStyle="Currency"/>
    <tableColumn id="8" xr3:uid="{C084FD71-1FDF-4C20-9820-BA86399113A9}" name="Cargos Bancarios" totalsRowFunction="sum" dataDxfId="843" totalsRowDxfId="842" dataCellStyle="Currency"/>
    <tableColumn id="15" xr3:uid="{A3B9890C-1F78-4C39-8DE9-CA304392196B}" name="50% Fee" dataDxfId="841" totalsRowDxfId="840" dataCellStyle="Currency"/>
    <tableColumn id="9" xr3:uid="{679A6EB4-1ECA-41CC-BAD0-EABDEFE9C8B4}" name="20% Comisión" totalsRowFunction="sum" dataDxfId="839" totalsRowDxfId="838" dataCellStyle="Currency"/>
    <tableColumn id="10" xr3:uid="{448C6DAF-0143-40DF-B613-A1A38E9C77C9}" name="5% Legal" totalsRowFunction="sum" dataDxfId="837" totalsRowDxfId="836" dataCellStyle="Currency"/>
    <tableColumn id="11" xr3:uid="{796EEF5C-6F7E-436C-8D2F-9E28AAD9F59C}" name="Retención de Impuestos" totalsRowFunction="sum" dataDxfId="835" totalsRowDxfId="834" dataCellStyle="Currency"/>
    <tableColumn id="12" xr3:uid="{22A47E77-0014-42DF-AB84-023DBDA02B80}" name="Pagado por MVPX" totalsRowFunction="sum" dataDxfId="833" totalsRowDxfId="832" dataCellStyle="Currency"/>
    <tableColumn id="13" xr3:uid="{D8E134E4-5ACF-45C6-BEB8-82584368638A}" name="Avance" totalsRowFunction="sum" dataDxfId="831" totalsRowDxfId="830" dataCellStyle="Currency"/>
    <tableColumn id="14" xr3:uid="{1A7A5137-ACC7-4C60-A938-F406F787FAFD}" name="Balance" totalsRowFunction="custom" dataDxfId="829" totalsRowDxfId="828" dataCellStyle="Currency">
      <totalsRowFormula>+#REF!</totalsRow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DC5DAC1-1D5F-41C5-ABFB-7415D170E0A3}" name="Table134730" displayName="Table134730" ref="B8:P23" totalsRowCount="1" headerRowDxfId="827" dataDxfId="825" totalsRowDxfId="823" headerRowBorderDxfId="826" tableBorderDxfId="824" totalsRowBorderDxfId="822">
  <autoFilter ref="B8:P22" xr:uid="{D91A5743-CB98-4EFA-AC17-1730C7F56453}"/>
  <tableColumns count="15">
    <tableColumn id="1" xr3:uid="{583F9D19-7542-4667-992F-059A8F5C3B81}" name="Fecha" dataDxfId="821" totalsRowDxfId="820"/>
    <tableColumn id="2" xr3:uid="{EBD529B3-58BF-46CB-835B-924BFC0866E0}" name="Número" dataDxfId="819" totalsRowDxfId="818"/>
    <tableColumn id="3" xr3:uid="{A9221F86-AED4-46BB-B718-9168E85C3858}" name="Tipo" dataDxfId="817" totalsRowDxfId="816"/>
    <tableColumn id="4" xr3:uid="{1E5BA7E0-899B-425B-B3CF-7494624657AA}" name="Método de pago" dataDxfId="815" totalsRowDxfId="814"/>
    <tableColumn id="5" xr3:uid="{3963FE27-4BE9-4B36-BE88-9A0417AFCDCC}" name="Nombre" dataDxfId="813" totalsRowDxfId="812"/>
    <tableColumn id="6" xr3:uid="{5DEE07B3-D40E-4EC0-B9A2-262B36F89050}" name="Concepto" totalsRowLabel="TOTAL" dataDxfId="811" totalsRowDxfId="810"/>
    <tableColumn id="7" xr3:uid="{F35BCB6F-882D-4441-8558-2CA4E0AD915F}" name="Valor de la Factura del Cliente" totalsRowFunction="sum" dataDxfId="809" totalsRowDxfId="808" dataCellStyle="Currency"/>
    <tableColumn id="8" xr3:uid="{C5954815-D964-428F-B238-852E48E0D87E}" name="Cargos Bancarios" totalsRowFunction="sum" dataDxfId="807" totalsRowDxfId="806" dataCellStyle="Currency"/>
    <tableColumn id="15" xr3:uid="{22ADFFA3-C585-4129-931D-1EF0E7A0E754}" name="50% Fee" dataDxfId="805" totalsRowDxfId="804" dataCellStyle="Currency"/>
    <tableColumn id="9" xr3:uid="{7E1DE631-461D-49DE-8494-43311E7545B1}" name="20% Comisión" totalsRowFunction="sum" dataDxfId="803" totalsRowDxfId="802" dataCellStyle="Currency"/>
    <tableColumn id="10" xr3:uid="{200EAA47-F388-44C3-B5AE-A9F2D7258D2C}" name="5% Legal" totalsRowFunction="sum" dataDxfId="801" totalsRowDxfId="800" dataCellStyle="Currency"/>
    <tableColumn id="11" xr3:uid="{23EC7A12-FF2B-4E14-B51D-B30ED610A5E2}" name="Retención de Impuestos" totalsRowFunction="sum" dataDxfId="799" totalsRowDxfId="798" dataCellStyle="Currency"/>
    <tableColumn id="12" xr3:uid="{8ACFB0AA-6AC6-4C7B-87C1-C371B55F9810}" name="Pagado por MVPX" totalsRowFunction="sum" dataDxfId="797" totalsRowDxfId="796" dataCellStyle="Currency"/>
    <tableColumn id="13" xr3:uid="{037478A5-247E-4FE8-A4D2-5C1E766702D3}" name="Avance" totalsRowFunction="sum" dataDxfId="795" totalsRowDxfId="794" dataCellStyle="Currency"/>
    <tableColumn id="14" xr3:uid="{53769677-C40F-415A-9FD4-E61753C41E83}" name="Balance" totalsRowFunction="custom" dataDxfId="793" totalsRowDxfId="792" dataCellStyle="Currency">
      <totalsRowFormula>+#REF!</totalsRow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FA03247-793A-4F4F-ABC3-6042801A13B8}" name="Table134729" displayName="Table134729" ref="B8:P14" totalsRowCount="1" headerRowDxfId="791" dataDxfId="789" totalsRowDxfId="787" headerRowBorderDxfId="790" tableBorderDxfId="788" totalsRowBorderDxfId="786">
  <autoFilter ref="B8:P13" xr:uid="{D91A5743-CB98-4EFA-AC17-1730C7F56453}"/>
  <tableColumns count="15">
    <tableColumn id="1" xr3:uid="{F095D88A-E80C-43CA-B321-0D389D2BE834}" name="Fecha" dataDxfId="785" totalsRowDxfId="784"/>
    <tableColumn id="2" xr3:uid="{DBA17469-6C1C-4C36-90A2-9827CAAE129E}" name="Número" dataDxfId="783" totalsRowDxfId="782"/>
    <tableColumn id="3" xr3:uid="{2F8C2C1E-13AB-47D3-9FAF-C1DCD867B66F}" name="Tipo" dataDxfId="781" totalsRowDxfId="780"/>
    <tableColumn id="4" xr3:uid="{F0E0D54F-C847-4541-9AD9-3C9985401CB5}" name="Método de pago" dataDxfId="779" totalsRowDxfId="778"/>
    <tableColumn id="5" xr3:uid="{765F42C1-DE22-4101-98E8-1E03C55DA36F}" name="Nombre" dataDxfId="777" totalsRowDxfId="776"/>
    <tableColumn id="6" xr3:uid="{DB9FA602-FB91-493E-B79F-30B53CB87B7F}" name="Concepto" totalsRowLabel="TOTAL" dataDxfId="775" totalsRowDxfId="774"/>
    <tableColumn id="7" xr3:uid="{40D22901-011B-42CD-A8B0-0F6A09C8A73A}" name="Valor de la Factura del Cliente" totalsRowFunction="sum" dataDxfId="773" totalsRowDxfId="772" dataCellStyle="Currency"/>
    <tableColumn id="8" xr3:uid="{5DFF0518-B47A-4D1E-926D-B912CA8B1FF0}" name="Cargos Bancarios" totalsRowFunction="sum" dataDxfId="771" totalsRowDxfId="770" dataCellStyle="Currency"/>
    <tableColumn id="15" xr3:uid="{B10D334B-3A05-4028-885D-A4F8A0D03C6C}" name="50% Fee" dataDxfId="769" totalsRowDxfId="768" dataCellStyle="Currency"/>
    <tableColumn id="9" xr3:uid="{3EE1C238-B051-45F9-A6DF-0101BDFCCFC1}" name="20% Comisión" totalsRowFunction="sum" dataDxfId="767" totalsRowDxfId="766" dataCellStyle="Currency"/>
    <tableColumn id="10" xr3:uid="{56FB9CF0-C731-4D23-B856-2EA67EFB1144}" name="5% Legal" totalsRowFunction="sum" dataDxfId="765" totalsRowDxfId="764" dataCellStyle="Currency"/>
    <tableColumn id="11" xr3:uid="{34331802-1AB8-4C4D-9518-1665D0A034C2}" name="Retención de Impuestos" totalsRowFunction="sum" dataDxfId="763" totalsRowDxfId="762" dataCellStyle="Currency"/>
    <tableColumn id="12" xr3:uid="{9464EDA0-5C90-492E-83EE-5145C12951DF}" name="Pagado por MVPX" totalsRowFunction="sum" dataDxfId="761" totalsRowDxfId="760" dataCellStyle="Currency"/>
    <tableColumn id="13" xr3:uid="{8086BCAF-1C02-4EC6-B222-38E0A59F6D2F}" name="Avance" totalsRowFunction="sum" dataDxfId="759" totalsRowDxfId="758" dataCellStyle="Currency"/>
    <tableColumn id="14" xr3:uid="{68EB2AD4-0388-491C-82CD-A6860F508CF6}" name="Balance" totalsRowFunction="custom" dataDxfId="757" totalsRowDxfId="756" dataCellStyle="Currency">
      <totalsRowFormula>+#REF!</totalsRow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63140B1-8DA6-46D0-95F8-E9305F27E06D}" name="Table134727" displayName="Table134727" ref="B8:P19" totalsRowCount="1" headerRowDxfId="755" dataDxfId="753" totalsRowDxfId="751" headerRowBorderDxfId="754" tableBorderDxfId="752" totalsRowBorderDxfId="750">
  <autoFilter ref="B8:P18" xr:uid="{D91A5743-CB98-4EFA-AC17-1730C7F56453}"/>
  <tableColumns count="15">
    <tableColumn id="1" xr3:uid="{648565A4-FE4B-4928-9B87-470354490304}" name="Fecha" dataDxfId="749" totalsRowDxfId="748"/>
    <tableColumn id="2" xr3:uid="{704A632F-D7F0-404D-BEBF-02E60438D5AB}" name="Número" dataDxfId="747" totalsRowDxfId="746"/>
    <tableColumn id="3" xr3:uid="{DDC94093-E8C2-4037-9A4D-A328EEC91453}" name="Tipo" dataDxfId="745" totalsRowDxfId="744"/>
    <tableColumn id="4" xr3:uid="{3C56E929-CB7A-4BA6-8D01-16FC819FDA2A}" name="Método de pago" dataDxfId="743" totalsRowDxfId="742"/>
    <tableColumn id="5" xr3:uid="{B9E17B7C-FA23-4ADF-B6E1-77A3EE24F5CA}" name="Nombre" dataDxfId="741" totalsRowDxfId="740"/>
    <tableColumn id="6" xr3:uid="{EF7A4D9A-D363-4D81-899A-1132BEB4BC9A}" name="Concepto" totalsRowLabel="TOTAL" dataDxfId="739" totalsRowDxfId="738"/>
    <tableColumn id="7" xr3:uid="{E1F63EE5-50B9-4BD2-8FB7-041C59810DDB}" name="Valor de la Factura del Cliente" totalsRowFunction="sum" dataDxfId="737" totalsRowDxfId="736" dataCellStyle="Currency"/>
    <tableColumn id="8" xr3:uid="{C114A8D9-B62E-43B5-B6B4-04EAF6FF2575}" name="Cargos Bancarios" totalsRowFunction="sum" dataDxfId="735" totalsRowDxfId="734" dataCellStyle="Currency"/>
    <tableColumn id="15" xr3:uid="{709F927D-B06E-4269-B1C2-88AA6E5D1A9B}" name="50% Fee" dataDxfId="733" totalsRowDxfId="732" dataCellStyle="Currency"/>
    <tableColumn id="9" xr3:uid="{F11008C0-4C53-439F-9493-9AC5DEE6BAD9}" name="20% Comisión" totalsRowFunction="sum" dataDxfId="731" totalsRowDxfId="730" dataCellStyle="Currency"/>
    <tableColumn id="10" xr3:uid="{13C1EED9-E5D0-43CB-8517-0DA922D5FA6E}" name="5% Legal" totalsRowFunction="sum" dataDxfId="729" totalsRowDxfId="728" dataCellStyle="Currency"/>
    <tableColumn id="11" xr3:uid="{5EEA6587-CA4B-42B6-A3EC-A1F66D5DE187}" name="Retención de Impuestos" totalsRowFunction="sum" dataDxfId="727" totalsRowDxfId="726" dataCellStyle="Currency"/>
    <tableColumn id="12" xr3:uid="{70AC05B4-FBD9-4737-8F77-224A9B4164BD}" name="Pagado por MVPX" totalsRowFunction="sum" dataDxfId="725" totalsRowDxfId="724" dataCellStyle="Currency"/>
    <tableColumn id="13" xr3:uid="{3D62B193-37FD-4CE7-8BFA-00C9178FCED0}" name="Avance" totalsRowFunction="sum" dataDxfId="723" totalsRowDxfId="722" dataCellStyle="Currency"/>
    <tableColumn id="14" xr3:uid="{D6069664-9DCB-44AF-8651-5A79B41308A9}" name="Balance" totalsRowFunction="custom" dataDxfId="721" totalsRowDxfId="720" dataCellStyle="Currency">
      <totalsRowFormula>+#REF!</totalsRow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2339BF-764D-4932-BB9B-0C73593D225E}" name="Table134726" displayName="Table134726" ref="B8:P101" totalsRowCount="1" headerRowDxfId="719" dataDxfId="717" totalsRowDxfId="715" headerRowBorderDxfId="718" tableBorderDxfId="716" totalsRowBorderDxfId="714">
  <autoFilter ref="B8:P100" xr:uid="{D91A5743-CB98-4EFA-AC17-1730C7F56453}"/>
  <tableColumns count="15">
    <tableColumn id="1" xr3:uid="{3090B51D-D0CE-4FD8-A372-44B5009012DC}" name="Fecha" dataDxfId="713" totalsRowDxfId="712"/>
    <tableColumn id="2" xr3:uid="{11830E1B-C6DC-41FB-9E53-A44863A09A51}" name="Número" dataDxfId="711" totalsRowDxfId="710"/>
    <tableColumn id="3" xr3:uid="{16987837-F8A9-4E3D-95B2-C1EE6925EBE7}" name="Tipo" dataDxfId="709" totalsRowDxfId="708"/>
    <tableColumn id="4" xr3:uid="{59EA32EB-755E-4373-A221-E46B729D22C7}" name="Método de pago" dataDxfId="707" totalsRowDxfId="706"/>
    <tableColumn id="5" xr3:uid="{50850FFC-B874-4234-9DAA-3A48C2FCB91F}" name="Nombre" dataDxfId="705" totalsRowDxfId="704"/>
    <tableColumn id="6" xr3:uid="{E285769E-E39D-47D5-9C0F-95BDB4A98849}" name="Concepto" totalsRowLabel="TOTAL" dataDxfId="703" totalsRowDxfId="702"/>
    <tableColumn id="7" xr3:uid="{71C95BAB-15B7-4606-A80B-4379885F501D}" name="Valor de la Factura del Cliente" totalsRowFunction="sum" dataDxfId="701" totalsRowDxfId="700" dataCellStyle="Currency"/>
    <tableColumn id="8" xr3:uid="{1BF73749-26BB-4524-8C8B-970CBF0BACBF}" name="Cargos Bancarios" totalsRowFunction="sum" dataDxfId="699" totalsRowDxfId="698" dataCellStyle="Currency"/>
    <tableColumn id="15" xr3:uid="{ABBE8233-9A1C-4F46-9520-35C01F91AEFF}" name="50% Fee" dataDxfId="697" totalsRowDxfId="696" dataCellStyle="Currency"/>
    <tableColumn id="9" xr3:uid="{DA01291B-C8AF-4F30-99C1-477A8DFF8386}" name="20% Comisión" totalsRowFunction="sum" dataDxfId="695" totalsRowDxfId="694" dataCellStyle="Currency"/>
    <tableColumn id="10" xr3:uid="{A6DEEE34-93D3-446E-AF7C-D6D69715C044}" name="5% Legal" totalsRowFunction="sum" dataDxfId="693" totalsRowDxfId="692" dataCellStyle="Currency"/>
    <tableColumn id="11" xr3:uid="{4FFADAEB-B63B-4322-B2AF-6242AA1C76CF}" name="Retención de Impuestos" totalsRowFunction="sum" dataDxfId="691" totalsRowDxfId="690" dataCellStyle="Currency"/>
    <tableColumn id="12" xr3:uid="{B733A075-D77F-450C-8F85-34AC02EAF043}" name="Pagado por MVPX" totalsRowFunction="sum" dataDxfId="689" totalsRowDxfId="688" dataCellStyle="Currency"/>
    <tableColumn id="13" xr3:uid="{65D6B4F8-B7CE-466A-BBD2-DDEB84C35705}" name="Avance" totalsRowFunction="sum" dataDxfId="687" totalsRowDxfId="686" dataCellStyle="Currency"/>
    <tableColumn id="14" xr3:uid="{0CD7E291-497E-4D70-A365-01ADA628D5C2}" name="Balance" totalsRowFunction="custom" dataDxfId="685" totalsRowDxfId="684" dataCellStyle="Currency">
      <calculatedColumnFormula>SUM(Table134726[[#This Row],[Cargos Bancarios]:[Avance]])</calculatedColumnFormula>
      <totalsRowFormula>+P100</totalsRow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FAD563B-6ACB-4931-9098-05A233E038EF}" name="Table134725" displayName="Table134725" ref="B8:P127" totalsRowCount="1" headerRowDxfId="683" dataDxfId="681" totalsRowDxfId="679" headerRowBorderDxfId="682" tableBorderDxfId="680" totalsRowBorderDxfId="678">
  <autoFilter ref="B8:P126" xr:uid="{D91A5743-CB98-4EFA-AC17-1730C7F56453}"/>
  <tableColumns count="15">
    <tableColumn id="1" xr3:uid="{B5EF2402-0B8D-4DB4-95A6-6E632A38A259}" name="Fecha" dataDxfId="677" totalsRowDxfId="676"/>
    <tableColumn id="2" xr3:uid="{184DDCE4-0624-4AAB-9F8C-C622E394DC56}" name="Número" dataDxfId="675" totalsRowDxfId="674"/>
    <tableColumn id="3" xr3:uid="{126D6D4D-F577-4514-B68B-B59746271321}" name="Tipo" dataDxfId="673" totalsRowDxfId="672"/>
    <tableColumn id="4" xr3:uid="{ADE3B03B-A007-440C-BD21-CBA84967914B}" name="Método de pago" dataDxfId="671" totalsRowDxfId="670"/>
    <tableColumn id="5" xr3:uid="{140F53E4-C27D-45FB-97A4-995846DB887A}" name="Nombre" dataDxfId="669" totalsRowDxfId="668"/>
    <tableColumn id="6" xr3:uid="{4ACBA6A5-84E4-4BE6-A73B-D4F68EFD67CC}" name="Concepto" totalsRowLabel="TOTAL" dataDxfId="667" totalsRowDxfId="666"/>
    <tableColumn id="7" xr3:uid="{55683090-FAE0-4034-A8C6-038BFBB7D48C}" name="Valor de la Factura del Cliente" totalsRowFunction="sum" dataDxfId="665" totalsRowDxfId="664" dataCellStyle="Currency"/>
    <tableColumn id="8" xr3:uid="{BC75A0FA-918B-474C-8A4C-5F69BBB61135}" name="Cargos Bancarios" totalsRowFunction="sum" dataDxfId="663" totalsRowDxfId="662" dataCellStyle="Currency"/>
    <tableColumn id="15" xr3:uid="{6F6F391D-B0CA-4AF9-A8D2-CBCBAFD0A87F}" name="50% Fee" dataDxfId="661" totalsRowDxfId="660" dataCellStyle="Currency"/>
    <tableColumn id="9" xr3:uid="{016C2DC4-E5C1-41D1-8DD1-F1A1F950DB64}" name="20% Comisión" totalsRowFunction="sum" dataDxfId="659" totalsRowDxfId="658" dataCellStyle="Currency"/>
    <tableColumn id="10" xr3:uid="{51147195-2D43-4B43-9BFD-3B21CC352DA7}" name="5% Legal" totalsRowFunction="sum" dataDxfId="657" totalsRowDxfId="656" dataCellStyle="Currency"/>
    <tableColumn id="11" xr3:uid="{448D81B1-0EC9-4DEA-B998-EE0B255AEF17}" name="Retención de Impuestos" totalsRowFunction="sum" dataDxfId="655" totalsRowDxfId="654" dataCellStyle="Currency"/>
    <tableColumn id="12" xr3:uid="{9DB3875C-D2B7-4DD3-B004-7AC904226C03}" name="Pagado por MVPX" totalsRowFunction="sum" dataDxfId="653" totalsRowDxfId="652" dataCellStyle="Currency"/>
    <tableColumn id="13" xr3:uid="{E226E75A-B591-4D74-A6F4-3A48DEA187BF}" name="Avance" totalsRowFunction="sum" dataDxfId="651" totalsRowDxfId="650" dataCellStyle="Currency"/>
    <tableColumn id="14" xr3:uid="{21EEA827-1667-4272-802C-EA5CE48B3513}" name="Balance" totalsRowFunction="custom" dataDxfId="649" totalsRowDxfId="648" dataCellStyle="Currency">
      <calculatedColumnFormula>SUM(Table134725[[#This Row],[Valor de la Factura del Cliente]:[Avance]])</calculatedColumnFormula>
      <totalsRowFormula>+P126</totalsRow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D17398A-07FF-4D81-AB66-DB2B77861B4D}" name="Table134724" displayName="Table134724" ref="B8:P34" totalsRowCount="1" headerRowDxfId="647" dataDxfId="645" totalsRowDxfId="643" headerRowBorderDxfId="646" tableBorderDxfId="644" totalsRowBorderDxfId="642">
  <autoFilter ref="B8:P33" xr:uid="{D91A5743-CB98-4EFA-AC17-1730C7F56453}"/>
  <tableColumns count="15">
    <tableColumn id="1" xr3:uid="{EE0CF145-ECF4-42CF-929D-EA8655877188}" name="Fecha" dataDxfId="641" totalsRowDxfId="640"/>
    <tableColumn id="2" xr3:uid="{C420A7E3-9C8B-413B-8F1C-A5EA36CED2EF}" name="Número" dataDxfId="639" totalsRowDxfId="638"/>
    <tableColumn id="3" xr3:uid="{1F3B45B8-3A2A-4801-A8AC-90251619561B}" name="Tipo" dataDxfId="637" totalsRowDxfId="636"/>
    <tableColumn id="4" xr3:uid="{CDEE16A3-3DDD-4981-993B-5F5995AA2CA2}" name="Método de pago" dataDxfId="635" totalsRowDxfId="634"/>
    <tableColumn id="5" xr3:uid="{6D4877AB-B457-464B-9309-1C336457BDCA}" name="Nombre" dataDxfId="633" totalsRowDxfId="632"/>
    <tableColumn id="6" xr3:uid="{0ADBF65A-DDE3-4C5F-ACE9-FC1BAF388980}" name="Concepto" totalsRowLabel="TOTAL" dataDxfId="631" totalsRowDxfId="630"/>
    <tableColumn id="7" xr3:uid="{8ADCCF15-0E8D-44E8-9B54-B7F87C49DCFB}" name="Valor de la Factura del Cliente" totalsRowFunction="sum" dataDxfId="629" totalsRowDxfId="628" dataCellStyle="Currency"/>
    <tableColumn id="8" xr3:uid="{86570564-F8C4-4A44-9B87-16D7BC285050}" name="Cargos Bancarios" totalsRowFunction="sum" dataDxfId="627" totalsRowDxfId="626" dataCellStyle="Currency"/>
    <tableColumn id="15" xr3:uid="{6E31EEDB-BE0A-4275-9DE2-46B907AA3A4E}" name="50% Fee" dataDxfId="625" totalsRowDxfId="624" dataCellStyle="Currency"/>
    <tableColumn id="9" xr3:uid="{AE4C47A0-9D13-4138-85E7-3DD1B181CB99}" name="20% Comisión" totalsRowFunction="sum" dataDxfId="623" totalsRowDxfId="622" dataCellStyle="Currency"/>
    <tableColumn id="10" xr3:uid="{0FE25DE6-C7F2-41B9-AAF4-8E9A2FA1944C}" name="5% Legal" totalsRowFunction="sum" dataDxfId="621" totalsRowDxfId="620" dataCellStyle="Currency"/>
    <tableColumn id="11" xr3:uid="{373D0A00-28D7-4824-A2FC-BC436D9D181A}" name="Retención de Impuestos" totalsRowFunction="sum" dataDxfId="619" totalsRowDxfId="618" dataCellStyle="Currency"/>
    <tableColumn id="12" xr3:uid="{FA1B7C12-385C-44E4-9019-2B9A07CC0CA2}" name="Pagado por MVPX" totalsRowFunction="sum" dataDxfId="617" totalsRowDxfId="616" dataCellStyle="Currency"/>
    <tableColumn id="13" xr3:uid="{E1C45B85-06C4-481B-AD3A-1DEA7195991C}" name="Avance" totalsRowFunction="sum" dataDxfId="615" totalsRowDxfId="614" dataCellStyle="Currency"/>
    <tableColumn id="14" xr3:uid="{2D96670F-208C-49C7-8CC4-599586158EA4}" name="Balance" totalsRowFunction="custom" dataDxfId="613" totalsRowDxfId="612" dataCellStyle="Currency">
      <totalsRowFormula>+P33</totalsRow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0256F6-D9F3-4FB6-9B97-4FBF652D6955}" name="Table134710" displayName="Table134710" ref="B8:P17" totalsRowCount="1" headerRowDxfId="611" dataDxfId="609" totalsRowDxfId="607" headerRowBorderDxfId="610" tableBorderDxfId="608" totalsRowBorderDxfId="606">
  <autoFilter ref="B8:P16" xr:uid="{D91A5743-CB98-4EFA-AC17-1730C7F56453}"/>
  <tableColumns count="15">
    <tableColumn id="1" xr3:uid="{EC58CABA-2C2D-4047-9FE5-824BDDE0EA6A}" name="Fecha" dataDxfId="605" totalsRowDxfId="604"/>
    <tableColumn id="2" xr3:uid="{94A9D8BB-BEC2-4265-AF7A-681239A56B8A}" name="Número" dataDxfId="603" totalsRowDxfId="602"/>
    <tableColumn id="3" xr3:uid="{C11A5C0B-0DE2-421B-B4FD-741166412C8A}" name="Tipo" dataDxfId="601" totalsRowDxfId="600"/>
    <tableColumn id="4" xr3:uid="{97D676FE-1B5E-4C6D-84CE-D6ABA2C41115}" name="Método de pago" dataDxfId="599" totalsRowDxfId="598"/>
    <tableColumn id="5" xr3:uid="{BF34B98C-9AD3-408E-AE7F-E22AE7D2BD06}" name="Nombre" dataDxfId="597" totalsRowDxfId="596"/>
    <tableColumn id="6" xr3:uid="{05209331-B02C-456D-AECE-E3D96D8B69C9}" name="Concepto" totalsRowLabel="TOTAL" dataDxfId="595" totalsRowDxfId="594"/>
    <tableColumn id="7" xr3:uid="{F7132352-9EAC-4275-ACC0-260865F67668}" name="Valor de la Factura del Cliente" totalsRowFunction="sum" dataDxfId="593" totalsRowDxfId="592" dataCellStyle="Currency"/>
    <tableColumn id="8" xr3:uid="{39DCB9D4-3B22-4AA6-8D53-2A0168975623}" name="Cargos Bancarios" totalsRowFunction="sum" dataDxfId="591" totalsRowDxfId="590" dataCellStyle="Currency"/>
    <tableColumn id="15" xr3:uid="{E8F37286-63C7-4FE6-A7C1-091A231872AC}" name="50% Fee" dataDxfId="589" totalsRowDxfId="588" dataCellStyle="Currency"/>
    <tableColumn id="9" xr3:uid="{6B7D8238-854E-4117-B17B-58E3E11996EF}" name="20% Comisión" totalsRowFunction="sum" dataDxfId="587" totalsRowDxfId="586" dataCellStyle="Currency"/>
    <tableColumn id="10" xr3:uid="{849F1498-2CBA-42A6-AF4A-267E84AF3064}" name="5% Legal" totalsRowFunction="sum" dataDxfId="585" totalsRowDxfId="584" dataCellStyle="Currency"/>
    <tableColumn id="11" xr3:uid="{5A59DA1C-353F-44C6-BF06-E2C6B0C9ED0F}" name="Retención de Impuestos" totalsRowFunction="sum" dataDxfId="583" totalsRowDxfId="582" dataCellStyle="Currency"/>
    <tableColumn id="12" xr3:uid="{AA8B74F3-5991-4610-9CC2-E9A157BE8B40}" name="Pagado por MVPX" totalsRowFunction="sum" dataDxfId="581" totalsRowDxfId="580" dataCellStyle="Currency"/>
    <tableColumn id="13" xr3:uid="{291EABB5-80E1-4E11-8B16-BB82F4C35BE7}" name="Avance" totalsRowFunction="sum" dataDxfId="579" totalsRowDxfId="578" dataCellStyle="Currency"/>
    <tableColumn id="14" xr3:uid="{84B2B2B9-4C92-4717-888D-3F4512BC586F}" name="Balance" totalsRowFunction="custom" dataDxfId="577" totalsRowDxfId="576" dataCellStyle="Currency">
      <totalsRowFormula>+P16</totalsRow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F782FD-959A-47B4-BE72-543504A2976C}" name="Table13473" displayName="Table13473" ref="B8:P121" totalsRowCount="1" headerRowDxfId="575" dataDxfId="573" totalsRowDxfId="571" headerRowBorderDxfId="574" tableBorderDxfId="572" totalsRowBorderDxfId="570">
  <autoFilter ref="B8:P120" xr:uid="{D91A5743-CB98-4EFA-AC17-1730C7F56453}"/>
  <tableColumns count="15">
    <tableColumn id="1" xr3:uid="{CD2F7443-9D47-40CF-A846-9CA6A3785E30}" name="Fecha" dataDxfId="569" totalsRowDxfId="568"/>
    <tableColumn id="2" xr3:uid="{D2A4EBCD-FCB4-46D4-8A14-A81169291695}" name="Número" dataDxfId="567" totalsRowDxfId="566"/>
    <tableColumn id="3" xr3:uid="{6051BDB1-017F-4CAA-9D2A-169E5B92FE1B}" name="Tipo" dataDxfId="565" totalsRowDxfId="564"/>
    <tableColumn id="4" xr3:uid="{5709D61E-97C2-4375-A614-7EDFEB47A64E}" name="Método de pago" dataDxfId="563" totalsRowDxfId="562"/>
    <tableColumn id="5" xr3:uid="{49D93193-11EF-4926-91E7-0A693627749C}" name="Nombre" dataDxfId="561" totalsRowDxfId="560"/>
    <tableColumn id="6" xr3:uid="{FAF712C1-6922-49FD-8D55-F848A70D5901}" name="Concepto" totalsRowLabel="TOTAL" dataDxfId="559" totalsRowDxfId="558"/>
    <tableColumn id="7" xr3:uid="{BC1FFF57-594F-421F-9A70-664B41E2B6C2}" name="Valor de la Factura del Cliente" totalsRowFunction="sum" dataDxfId="557" totalsRowDxfId="556" dataCellStyle="Currency"/>
    <tableColumn id="8" xr3:uid="{0EC5CE3C-C3D8-4227-9195-70F6C52B4420}" name="Cargos Bancarios" totalsRowFunction="sum" dataDxfId="555" totalsRowDxfId="554" dataCellStyle="Currency"/>
    <tableColumn id="15" xr3:uid="{766FA451-E51B-4D68-B2BA-46D2EB905D86}" name="50% Fee" dataDxfId="553" totalsRowDxfId="552" dataCellStyle="Currency"/>
    <tableColumn id="9" xr3:uid="{413BE10F-5F7A-473F-BD10-79E7C268E644}" name="20% Comisión" totalsRowFunction="sum" dataDxfId="551" totalsRowDxfId="550" dataCellStyle="Currency"/>
    <tableColumn id="10" xr3:uid="{7F675924-F020-4E58-8F35-41ADBC5519E3}" name="5% Legal" totalsRowFunction="sum" dataDxfId="549" totalsRowDxfId="548" dataCellStyle="Currency"/>
    <tableColumn id="11" xr3:uid="{90F3572E-AAA0-4CCD-A00F-18D152AE3810}" name="Retención de Impuestos" totalsRowFunction="sum" dataDxfId="547" totalsRowDxfId="546" dataCellStyle="Currency"/>
    <tableColumn id="12" xr3:uid="{675703D2-BA2C-4CE4-98C0-DFFDDBA3F45B}" name="Pagado por MVPX" totalsRowFunction="sum" dataDxfId="545" totalsRowDxfId="544" dataCellStyle="Currency"/>
    <tableColumn id="13" xr3:uid="{95501082-E1DE-4EF9-8818-3A99BF664F56}" name="Avance" totalsRowFunction="sum" dataDxfId="543" totalsRowDxfId="542" dataCellStyle="Currency"/>
    <tableColumn id="14" xr3:uid="{42E8B7B8-9C54-4820-A6EC-9FADCCAA9DDA}" name="Balance" totalsRowFunction="custom" dataDxfId="541" totalsRowDxfId="540" dataCellStyle="Currency">
      <calculatedColumnFormula>SUM(Table13473[[#This Row],[Valor de la Factura del Cliente]:[Avance]])</calculatedColumnFormula>
      <totalsRowFormula>+P120</totalsRow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F808C52-A8A4-4D3D-9026-5B00615353FB}" name="Table134723" displayName="Table134723" ref="B8:P66" totalsRowCount="1" headerRowDxfId="539" dataDxfId="537" totalsRowDxfId="535" headerRowBorderDxfId="538" tableBorderDxfId="536" totalsRowBorderDxfId="534">
  <autoFilter ref="B8:P65" xr:uid="{D91A5743-CB98-4EFA-AC17-1730C7F56453}"/>
  <tableColumns count="15">
    <tableColumn id="1" xr3:uid="{E25B5E4D-F752-4258-8CCE-1E0B555EA503}" name="Fecha" dataDxfId="533" totalsRowDxfId="532"/>
    <tableColumn id="2" xr3:uid="{ABC37605-760A-4E2D-8653-F0084B05219C}" name="Número" dataDxfId="531" totalsRowDxfId="530"/>
    <tableColumn id="3" xr3:uid="{05572C7B-FBB5-411D-906B-B9B50BB68E3B}" name="Tipo" dataDxfId="529" totalsRowDxfId="528"/>
    <tableColumn id="4" xr3:uid="{F45BA8D4-3C18-48D1-9DB8-98F377575809}" name="Método de pago" dataDxfId="527" totalsRowDxfId="526"/>
    <tableColumn id="5" xr3:uid="{08C24572-57F3-4D45-8A6D-E6A4A6772BE0}" name="Nombre" dataDxfId="525" totalsRowDxfId="524"/>
    <tableColumn id="6" xr3:uid="{68D7B1C1-A5A6-4003-9603-106E7579C147}" name="Concepto" totalsRowLabel="TOTAL" dataDxfId="523" totalsRowDxfId="522"/>
    <tableColumn id="7" xr3:uid="{B2847C90-F6F4-4011-8D6A-A4EEBD1B7A82}" name="Valor de la Factura del Cliente" totalsRowFunction="sum" dataDxfId="521" totalsRowDxfId="520" dataCellStyle="Currency"/>
    <tableColumn id="8" xr3:uid="{3B4F495F-1552-4047-8476-49F3C8EE4B3B}" name="Cargos Bancarios" totalsRowFunction="sum" dataDxfId="519" totalsRowDxfId="518" dataCellStyle="Currency"/>
    <tableColumn id="15" xr3:uid="{0D9E2B2A-92A6-44AB-83D0-0AE07D63DC63}" name="50% Fee" dataDxfId="517" totalsRowDxfId="516" dataCellStyle="Currency"/>
    <tableColumn id="9" xr3:uid="{99E67A45-CEFA-49C5-83D8-261B477EB64F}" name="10% Comisión" totalsRowFunction="sum" dataDxfId="515" totalsRowDxfId="514" dataCellStyle="Currency"/>
    <tableColumn id="10" xr3:uid="{35F79413-C36D-4BB8-9950-184A1668D473}" name="5% Legal" totalsRowFunction="sum" dataDxfId="513" totalsRowDxfId="512" dataCellStyle="Currency"/>
    <tableColumn id="11" xr3:uid="{1B2112BA-AE1B-4856-80A9-0895F6F6C8C0}" name="Retención de Impuestos" totalsRowFunction="sum" dataDxfId="511" totalsRowDxfId="510" dataCellStyle="Currency"/>
    <tableColumn id="12" xr3:uid="{B218AF71-322F-4925-B6F6-E2BE1BF0A206}" name="Pagado por MVPX" totalsRowFunction="sum" dataDxfId="509" totalsRowDxfId="508" dataCellStyle="Currency"/>
    <tableColumn id="13" xr3:uid="{F4BC17C7-FDEB-4170-9E25-99F3586F119F}" name="Avance" totalsRowFunction="sum" dataDxfId="507" totalsRowDxfId="506" dataCellStyle="Currency"/>
    <tableColumn id="14" xr3:uid="{4D0D819F-7C41-4F98-BEAF-250029B7F36E}" name="Balance" totalsRowFunction="custom" dataDxfId="505" totalsRowDxfId="504" dataCellStyle="Currency">
      <calculatedColumnFormula>SUM(Table134723[[#This Row],[Valor de la Factura del Cliente]:[Avance]])</calculatedColumnFormula>
      <totalsRowFormula>+P65</totalsRowFormula>
    </tableColumn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86EAB94-88E6-4C80-8DD2-9A86195C1045}" name="Table134721" displayName="Table134721" ref="B8:P76" totalsRowCount="1" headerRowDxfId="503" dataDxfId="501" totalsRowDxfId="499" headerRowBorderDxfId="502" tableBorderDxfId="500" totalsRowBorderDxfId="498">
  <autoFilter ref="B8:P75" xr:uid="{D91A5743-CB98-4EFA-AC17-1730C7F56453}"/>
  <tableColumns count="15">
    <tableColumn id="1" xr3:uid="{E2C8309D-AC9A-4CCC-BD29-EFB0CB6FFC59}" name="Fecha" dataDxfId="497" totalsRowDxfId="496"/>
    <tableColumn id="2" xr3:uid="{7D380EED-14C3-45BB-94C4-4635FCDE0819}" name="Número" dataDxfId="495" totalsRowDxfId="494"/>
    <tableColumn id="3" xr3:uid="{8915D388-7746-4D47-A55D-B31F63A697DA}" name="Tipo" dataDxfId="493" totalsRowDxfId="492"/>
    <tableColumn id="4" xr3:uid="{F8A74574-9B69-4FF4-A2DE-FDAFBBD51AA6}" name="Método de pago" dataDxfId="491" totalsRowDxfId="490"/>
    <tableColumn id="5" xr3:uid="{30ED6AAE-DB8C-4138-A1ED-8F3398CCB6D3}" name="Nombre" dataDxfId="489" totalsRowDxfId="488"/>
    <tableColumn id="6" xr3:uid="{C05B78F2-B42E-4588-9E33-B9D5CC940279}" name="Concepto" totalsRowLabel="TOTAL" dataDxfId="487" totalsRowDxfId="486"/>
    <tableColumn id="7" xr3:uid="{CEFE4505-A43A-4A54-8D71-C4C858E6D4F4}" name="Valor de la Factura del Cliente" totalsRowFunction="sum" dataDxfId="485" totalsRowDxfId="484" dataCellStyle="Currency"/>
    <tableColumn id="8" xr3:uid="{4AB64A40-A7E3-42CA-B0AF-28023B9D2636}" name="Cargos Bancarios" totalsRowFunction="sum" dataDxfId="483" totalsRowDxfId="482" dataCellStyle="Currency"/>
    <tableColumn id="15" xr3:uid="{BF2F0664-79F2-4F09-A1CC-2E64D7825142}" name="50% Fee" totalsRowFunction="sum" dataDxfId="481" totalsRowDxfId="480" dataCellStyle="Currency"/>
    <tableColumn id="9" xr3:uid="{5F42BC33-3E5B-4CEA-AA22-7A8D7244BE1B}" name="20% Comisión" totalsRowFunction="sum" dataDxfId="479" totalsRowDxfId="478" dataCellStyle="Currency"/>
    <tableColumn id="10" xr3:uid="{1D966339-3370-4AAA-8555-325D275663A1}" name="5% Legal" totalsRowFunction="sum" dataDxfId="477" totalsRowDxfId="476" dataCellStyle="Currency"/>
    <tableColumn id="11" xr3:uid="{9353D8C7-AD34-452E-91EC-A9F18051F290}" name="Retención de Impuestos" totalsRowFunction="sum" dataDxfId="475" totalsRowDxfId="474" dataCellStyle="Currency"/>
    <tableColumn id="12" xr3:uid="{1082F02C-1D72-4855-BE37-272D684345C1}" name="Pagado por MVPX" totalsRowFunction="sum" dataDxfId="473" totalsRowDxfId="472" dataCellStyle="Currency"/>
    <tableColumn id="13" xr3:uid="{C567A7B3-3FEC-43BA-8C37-D0270C37DFA3}" name="Avance" totalsRowFunction="sum" dataDxfId="471" totalsRowDxfId="470" dataCellStyle="Currency"/>
    <tableColumn id="14" xr3:uid="{32796025-A3FE-47E9-A1E2-795704C4E8F4}" name="Balance" totalsRowFunction="custom" dataDxfId="469" totalsRowDxfId="468" dataCellStyle="Currency">
      <calculatedColumnFormula>SUM(Table134721[[#This Row],[Valor de la Factura del Cliente]:[Avance]])</calculatedColumnFormula>
      <totalsRowFormula>+P75</totalsRow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983011-A1C0-412D-B9CA-1E1B401B6FA1}" name="Table134720" displayName="Table134720" ref="B8:P15" totalsRowCount="1" headerRowDxfId="467" dataDxfId="465" totalsRowDxfId="463" headerRowBorderDxfId="466" tableBorderDxfId="464" totalsRowBorderDxfId="462">
  <autoFilter ref="B8:P14" xr:uid="{D91A5743-CB98-4EFA-AC17-1730C7F56453}"/>
  <tableColumns count="15">
    <tableColumn id="1" xr3:uid="{DF7F30C5-C0E3-4D0F-8BEC-D0AEC3651D2B}" name="Fecha" dataDxfId="461" totalsRowDxfId="460"/>
    <tableColumn id="2" xr3:uid="{37D10654-FD99-4A7A-9868-B87E9B37D315}" name="Número" dataDxfId="459" totalsRowDxfId="458"/>
    <tableColumn id="3" xr3:uid="{558A98FA-DD65-467F-A8C0-30AC1A8136E8}" name="Tipo" dataDxfId="457" totalsRowDxfId="456"/>
    <tableColumn id="4" xr3:uid="{8F77AD01-C03B-4611-9B56-438DD110543F}" name="Método de pago" dataDxfId="455" totalsRowDxfId="454"/>
    <tableColumn id="5" xr3:uid="{965D38F4-F7B2-47CE-A5FC-0711DC39EB0F}" name="Nombre" dataDxfId="453" totalsRowDxfId="452"/>
    <tableColumn id="6" xr3:uid="{6B39FD56-B7A3-471C-8E30-4E802696ADF1}" name="Concepto" totalsRowLabel="TOTAL" dataDxfId="451" totalsRowDxfId="450"/>
    <tableColumn id="7" xr3:uid="{E83DFD54-8E59-470B-889B-C08582C68BD0}" name="Valor de la Factura del Cliente" totalsRowFunction="sum" dataDxfId="449" totalsRowDxfId="448" dataCellStyle="Currency"/>
    <tableColumn id="8" xr3:uid="{E3D0CDA0-1425-47FF-BCB8-AF655C4981BE}" name="Cargos Bancarios" totalsRowFunction="sum" dataDxfId="447" totalsRowDxfId="446" dataCellStyle="Currency"/>
    <tableColumn id="15" xr3:uid="{2E4410A2-7769-44E1-8DE2-A4645081EBE0}" name="50% Fee" dataDxfId="445" totalsRowDxfId="444" dataCellStyle="Currency"/>
    <tableColumn id="9" xr3:uid="{144AD28E-A41A-4EB3-982B-9E929BE30EE4}" name="20% Comisión" totalsRowFunction="sum" dataDxfId="443" totalsRowDxfId="442" dataCellStyle="Currency"/>
    <tableColumn id="10" xr3:uid="{508BB751-438A-4CB6-8008-0EE887DD47D0}" name="5% Legal" totalsRowFunction="sum" dataDxfId="441" totalsRowDxfId="440" dataCellStyle="Currency"/>
    <tableColumn id="11" xr3:uid="{57F73540-9C01-4842-8EDA-1D2F7F68110D}" name="Retención de Impuestos" totalsRowFunction="sum" dataDxfId="439" totalsRowDxfId="438" dataCellStyle="Currency"/>
    <tableColumn id="12" xr3:uid="{5AB8FB83-EEF9-43E9-B84D-1797DC5D5002}" name="Pagado por MVPX" totalsRowFunction="sum" dataDxfId="437" totalsRowDxfId="436" dataCellStyle="Currency"/>
    <tableColumn id="13" xr3:uid="{89C46AEB-47F8-422C-8D0B-EA7F7CE83B75}" name="Avance" totalsRowFunction="sum" dataDxfId="435" totalsRowDxfId="434" dataCellStyle="Currency"/>
    <tableColumn id="14" xr3:uid="{687CB1D9-DDF7-4913-A5F8-F7E26D7851E0}" name="Balance" totalsRowFunction="custom" dataDxfId="433" totalsRowDxfId="432" dataCellStyle="Currency">
      <calculatedColumnFormula>SUM(Table134720[[#This Row],[Valor de la Factura del Cliente]:[Avance]])</calculatedColumnFormula>
      <totalsRowFormula>+P14</totalsRow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83EA5D7-C113-4C8A-9A2A-AF83821CA88F}" name="Table134719" displayName="Table134719" ref="B8:P12" totalsRowCount="1" headerRowDxfId="431" dataDxfId="429" totalsRowDxfId="427" headerRowBorderDxfId="430" tableBorderDxfId="428" totalsRowBorderDxfId="426">
  <autoFilter ref="B8:P11" xr:uid="{D91A5743-CB98-4EFA-AC17-1730C7F56453}"/>
  <tableColumns count="15">
    <tableColumn id="1" xr3:uid="{442BA798-FC83-436B-AC12-C94931F9A341}" name="Fecha" dataDxfId="425" totalsRowDxfId="424"/>
    <tableColumn id="2" xr3:uid="{2ABE81D1-CFF2-4D81-98B6-3B0AC4E610DB}" name="Número" dataDxfId="423" totalsRowDxfId="422"/>
    <tableColumn id="3" xr3:uid="{E4B94B83-317C-4312-B23A-319E93D45E72}" name="Tipo" dataDxfId="421" totalsRowDxfId="420"/>
    <tableColumn id="4" xr3:uid="{D6D223E7-715A-49E2-9A0F-EDBDCB43B017}" name="Método de pago" dataDxfId="419" totalsRowDxfId="418"/>
    <tableColumn id="5" xr3:uid="{6D71DC01-A105-44AE-8C64-FA409606B2FF}" name="Nombre" dataDxfId="417" totalsRowDxfId="416"/>
    <tableColumn id="6" xr3:uid="{8D112AE4-8FDE-498B-9542-27F3E5F0789B}" name="Concepto" totalsRowLabel="TOTAL" dataDxfId="415" totalsRowDxfId="414"/>
    <tableColumn id="7" xr3:uid="{43BCF400-7883-4E67-B732-9DE1E0B475A1}" name="Valor de la Factura del Cliente" totalsRowFunction="sum" dataDxfId="413" totalsRowDxfId="412" dataCellStyle="Currency"/>
    <tableColumn id="8" xr3:uid="{C39D4C09-5C5B-4C3E-8B19-E9AAFE911580}" name="Cargos Bancarios" totalsRowFunction="sum" dataDxfId="411" totalsRowDxfId="410" dataCellStyle="Currency"/>
    <tableColumn id="15" xr3:uid="{434C66AE-48C8-445E-A32F-C1BE003FDAF8}" name="50% Fee" dataDxfId="409" totalsRowDxfId="408" dataCellStyle="Currency"/>
    <tableColumn id="9" xr3:uid="{B4A8F435-DF45-4DBE-8AA1-0C955DDE3E13}" name="20% Comisión" totalsRowFunction="sum" dataDxfId="407" totalsRowDxfId="406" dataCellStyle="Currency"/>
    <tableColumn id="10" xr3:uid="{7499D002-807D-4E27-8B6A-771803FE0835}" name="5% Legal" totalsRowFunction="sum" dataDxfId="405" totalsRowDxfId="404" dataCellStyle="Currency"/>
    <tableColumn id="11" xr3:uid="{ED66B7C4-A09E-4D9A-ADCA-5D228B0823C3}" name="Retención de Impuestos" totalsRowFunction="sum" dataDxfId="403" totalsRowDxfId="402" dataCellStyle="Currency"/>
    <tableColumn id="12" xr3:uid="{406FC082-C0C4-4063-A8DD-9ACCB892370D}" name="Pagado por MVPX" totalsRowFunction="sum" dataDxfId="401" totalsRowDxfId="400" dataCellStyle="Currency"/>
    <tableColumn id="13" xr3:uid="{977F3153-DA98-49CD-A297-51096B67BDF8}" name="Avance" totalsRowFunction="sum" dataDxfId="399" totalsRowDxfId="398" dataCellStyle="Currency"/>
    <tableColumn id="14" xr3:uid="{3DB50DF9-36FB-4F80-AE9D-658ED4AD9AA3}" name="Balance" totalsRowFunction="custom" dataDxfId="397" totalsRowDxfId="396" dataCellStyle="Currency">
      <calculatedColumnFormula>SUM(Table134719[[#This Row],[Valor de la Factura del Cliente]:[Avance]])</calculatedColumnFormula>
      <totalsRowFormula>+P11</totalsRow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D5B2CAF-1500-4B1D-A783-7C83F0705467}" name="Table134718" displayName="Table134718" ref="B8:P14" totalsRowCount="1" headerRowDxfId="395" dataDxfId="393" totalsRowDxfId="391" headerRowBorderDxfId="394" tableBorderDxfId="392" totalsRowBorderDxfId="390">
  <autoFilter ref="B8:P13" xr:uid="{D91A5743-CB98-4EFA-AC17-1730C7F56453}"/>
  <tableColumns count="15">
    <tableColumn id="1" xr3:uid="{33FD693A-7696-4129-AD42-2E78B13331AE}" name="Fecha" dataDxfId="389" totalsRowDxfId="388"/>
    <tableColumn id="2" xr3:uid="{94815106-DCB1-4D88-B45A-CA22F5257AA5}" name="Número" dataDxfId="387" totalsRowDxfId="386"/>
    <tableColumn id="3" xr3:uid="{23C45FB9-F8D9-4382-8859-ECCE37A106B8}" name="Tipo" dataDxfId="385" totalsRowDxfId="384"/>
    <tableColumn id="4" xr3:uid="{3607099E-2192-4DD4-A3DF-0ADB3733E7C5}" name="Método de pago" dataDxfId="383" totalsRowDxfId="382"/>
    <tableColumn id="5" xr3:uid="{1B51EA88-30E7-4BA7-A05C-25893C12BD5E}" name="Nombre" dataDxfId="381" totalsRowDxfId="380"/>
    <tableColumn id="6" xr3:uid="{EFE629F0-3C4F-449A-8588-3177B8F87BF3}" name="Concepto" totalsRowLabel="TOTAL" dataDxfId="379" totalsRowDxfId="378"/>
    <tableColumn id="7" xr3:uid="{1A9835AD-9398-492F-BA40-5AD10CCE8794}" name="Valor de la Factura del Cliente" totalsRowFunction="sum" dataDxfId="377" totalsRowDxfId="376" dataCellStyle="Currency"/>
    <tableColumn id="8" xr3:uid="{3E790050-06ED-4D8C-892E-3F05EB8B796D}" name="Cargos Bancarios" totalsRowFunction="sum" dataDxfId="375" totalsRowDxfId="374" dataCellStyle="Currency"/>
    <tableColumn id="15" xr3:uid="{E8F71085-AE24-420D-9267-4F6ABCF328B4}" name="50% Fee" dataDxfId="373" totalsRowDxfId="372" dataCellStyle="Currency"/>
    <tableColumn id="9" xr3:uid="{961CE2F3-B95B-4425-8E8E-89A40B5E93B4}" name="20% Comisión" totalsRowFunction="sum" dataDxfId="371" totalsRowDxfId="370" dataCellStyle="Currency"/>
    <tableColumn id="10" xr3:uid="{6CB0B478-4F9F-427E-9FAD-D3AA694A6DB0}" name="5% Legal" totalsRowFunction="sum" dataDxfId="369" totalsRowDxfId="368" dataCellStyle="Currency"/>
    <tableColumn id="11" xr3:uid="{27D5A82E-F6ED-4D2A-95F5-467A8C390B53}" name="Retención de Impuestos" totalsRowFunction="sum" dataDxfId="367" totalsRowDxfId="366" dataCellStyle="Currency"/>
    <tableColumn id="12" xr3:uid="{30127D93-96B5-4FFC-9785-6A8F5411AE57}" name="Pagado por MVPX" totalsRowFunction="sum" dataDxfId="365" totalsRowDxfId="364" dataCellStyle="Currency"/>
    <tableColumn id="13" xr3:uid="{0B860671-746F-4E60-91FC-D52DEE97E9CC}" name="Avance" totalsRowFunction="sum" dataDxfId="363" totalsRowDxfId="362" dataCellStyle="Currency"/>
    <tableColumn id="14" xr3:uid="{A824D0FC-BA5B-4B2C-B92C-9D9C7C64413B}" name="Balance" totalsRowFunction="custom" dataDxfId="361" totalsRowDxfId="360" dataCellStyle="Currency">
      <calculatedColumnFormula>SUM(Table134718[[#This Row],[Valor de la Factura del Cliente]:[Pagado por MVPX]])</calculatedColumnFormula>
      <totalsRowFormula>+P13</totalsRowFormula>
    </tableColumn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A5743-CB98-4EFA-AC17-1730C7F56453}" name="Table1" displayName="Table1" ref="B12:P66" totalsRowCount="1" headerRowDxfId="359" dataDxfId="357" totalsRowDxfId="355" headerRowBorderDxfId="358" tableBorderDxfId="356" totalsRowBorderDxfId="354">
  <autoFilter ref="B12:P65" xr:uid="{D91A5743-CB98-4EFA-AC17-1730C7F56453}"/>
  <tableColumns count="15">
    <tableColumn id="1" xr3:uid="{97C7813B-8167-4AFB-8FE2-29193799EEEB}" name="Fecha" dataDxfId="353" totalsRowDxfId="352"/>
    <tableColumn id="2" xr3:uid="{62101010-13C0-436A-804C-D437FB532705}" name="Número" dataDxfId="351" totalsRowDxfId="350"/>
    <tableColumn id="3" xr3:uid="{D21993F6-D9AD-4C16-B072-EB2CCA86C0C9}" name="Tipo" dataDxfId="349" totalsRowDxfId="348"/>
    <tableColumn id="4" xr3:uid="{1C4961CE-B849-46A6-AC03-CB16F53F7F0C}" name="Método de pago" dataDxfId="347" totalsRowDxfId="346"/>
    <tableColumn id="5" xr3:uid="{1C20090F-9ED5-4C43-9BA2-1B272C2F6A3D}" name="Nombre" dataDxfId="345" totalsRowDxfId="344"/>
    <tableColumn id="6" xr3:uid="{D3F58EA7-D346-4C4E-AFEB-9529178D357C}" name="Concepto" totalsRowLabel="TOTAL" dataDxfId="343" totalsRowDxfId="342"/>
    <tableColumn id="7" xr3:uid="{622FE0D2-E756-4FD3-8DEC-6DB5D40D9059}" name="Valor de la Factura del Cliente" totalsRowFunction="sum" dataDxfId="341" totalsRowDxfId="340" dataCellStyle="Currency"/>
    <tableColumn id="8" xr3:uid="{87D490E8-6DF7-4977-8DDF-E9DBD974CE29}" name="Cargos Bancarios" totalsRowFunction="sum" dataDxfId="339" totalsRowDxfId="338" dataCellStyle="Currency"/>
    <tableColumn id="15" xr3:uid="{997D8C9E-0867-48F9-9448-ED9169043EEB}" name="50% Fee" dataDxfId="337" totalsRowDxfId="336" dataCellStyle="Currency"/>
    <tableColumn id="9" xr3:uid="{3EE8D823-02A8-4EBC-B915-1220CB9F3B48}" name="20% Comisión" totalsRowFunction="sum" dataDxfId="335" totalsRowDxfId="334" dataCellStyle="Currency">
      <calculatedColumnFormula>Table1[[#This Row],[Valor de la Factura del Cliente]]*0.2*-1</calculatedColumnFormula>
    </tableColumn>
    <tableColumn id="10" xr3:uid="{43BE0B71-E059-4718-A8A9-6F35909EBD19}" name="5% Legal" totalsRowFunction="sum" dataDxfId="333" totalsRowDxfId="332" dataCellStyle="Currency">
      <calculatedColumnFormula>Table1[[#This Row],[Valor de la Factura del Cliente]]*0.05*-1</calculatedColumnFormula>
    </tableColumn>
    <tableColumn id="11" xr3:uid="{CC09EAA3-BEE0-4D14-AE80-0FDFDC8DD66D}" name="Retención de Impuestos" totalsRowFunction="sum" dataDxfId="331" totalsRowDxfId="330" dataCellStyle="Currency"/>
    <tableColumn id="12" xr3:uid="{C4C9E615-BC77-45E9-8F7B-006CEA2A209B}" name="Pagado por MVPX" totalsRowFunction="sum" dataDxfId="329" totalsRowDxfId="328" dataCellStyle="Currency"/>
    <tableColumn id="13" xr3:uid="{A6EC278F-D4EF-4DEE-B372-7E3623B5C594}" name="Avance" totalsRowFunction="sum" dataDxfId="327" totalsRowDxfId="326" dataCellStyle="Currency"/>
    <tableColumn id="14" xr3:uid="{1CD2AA03-4C28-4C6A-84E1-DE7F0080D8FF}" name="Balance" totalsRowFunction="custom" dataDxfId="325" totalsRowDxfId="324" dataCellStyle="Currency">
      <calculatedColumnFormula>SUM(Table1[[#This Row],[Valor de la Factura del Cliente]:[Avance]])+P12</calculatedColumnFormula>
      <totalsRowFormula>SUM(Table1[[#Totals],[Valor de la Factura del Cliente]:[Avance]])</totalsRow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F5A1F0-F776-4315-B593-7D556E8142A1}" name="Table134" displayName="Table134" ref="B8:P90" totalsRowCount="1" headerRowDxfId="323" dataDxfId="321" totalsRowDxfId="319" headerRowBorderDxfId="322" tableBorderDxfId="320" totalsRowBorderDxfId="318">
  <autoFilter ref="B8:P89" xr:uid="{D91A5743-CB98-4EFA-AC17-1730C7F56453}"/>
  <tableColumns count="15">
    <tableColumn id="1" xr3:uid="{128AAA1C-4E3B-419C-8E18-406F505F09E0}" name="Fecha" dataDxfId="317" totalsRowDxfId="316"/>
    <tableColumn id="2" xr3:uid="{98A9ED7E-430B-4EF0-AE03-734353165262}" name="Número" dataDxfId="315" totalsRowDxfId="314"/>
    <tableColumn id="3" xr3:uid="{B4085C27-D28C-40D7-82C5-2C022FEC8DD2}" name="Tipo" dataDxfId="313" totalsRowDxfId="312"/>
    <tableColumn id="4" xr3:uid="{579FB3F0-BB85-492F-A1C4-12768D815468}" name="Método de pago" dataDxfId="311" totalsRowDxfId="310"/>
    <tableColumn id="5" xr3:uid="{4F5F41B9-3B42-4297-B239-2C207C0F18A2}" name="Nombre" dataDxfId="309" totalsRowDxfId="308"/>
    <tableColumn id="6" xr3:uid="{872F395D-7CAA-4596-8447-73878DB64D4B}" name="Concepto" totalsRowLabel="TOTAL" dataDxfId="307" totalsRowDxfId="306"/>
    <tableColumn id="7" xr3:uid="{B0699377-C61A-4985-947F-6FD3ECC6094D}" name="Valor de la Factura del Cliente" totalsRowFunction="sum" dataDxfId="305" totalsRowDxfId="304" dataCellStyle="Currency"/>
    <tableColumn id="8" xr3:uid="{0AA12761-24AF-4F46-BF67-4C484C1832C4}" name="Cargos Bancarios" totalsRowFunction="sum" dataDxfId="303" totalsRowDxfId="302" dataCellStyle="Currency"/>
    <tableColumn id="15" xr3:uid="{CDE0F578-4EE7-471E-9948-045E283D5489}" name="50% Fee" dataDxfId="301" totalsRowDxfId="300" dataCellStyle="Currency"/>
    <tableColumn id="9" xr3:uid="{2BF307DA-189F-4658-AAD0-E5372B622FD6}" name="20% Comisión" totalsRowFunction="sum" dataDxfId="299" totalsRowDxfId="298" dataCellStyle="Currency"/>
    <tableColumn id="10" xr3:uid="{23073281-EFA3-45F2-8F41-8FE1572B96A5}" name="5% Legal" totalsRowFunction="sum" dataDxfId="297" totalsRowDxfId="296" dataCellStyle="Currency"/>
    <tableColumn id="11" xr3:uid="{71DCF668-373B-4BA3-B5A4-141F7BAB1CE5}" name="Retención de Impuestos" totalsRowFunction="sum" dataDxfId="295" totalsRowDxfId="294" dataCellStyle="Currency"/>
    <tableColumn id="12" xr3:uid="{115799C5-E3CE-4552-A37F-4EC9A274D7C8}" name="Pagado por MVPX" totalsRowFunction="sum" dataDxfId="293" totalsRowDxfId="292" dataCellStyle="Currency"/>
    <tableColumn id="13" xr3:uid="{0C553B9B-B556-406E-B99B-E3E86548D744}" name="Avance" totalsRowFunction="sum" dataDxfId="291" totalsRowDxfId="290" dataCellStyle="Currency"/>
    <tableColumn id="14" xr3:uid="{3E95E1C2-AA50-45EF-B595-35C3E35DF010}" name="Balance" totalsRowFunction="custom" dataDxfId="289" totalsRowDxfId="288" dataCellStyle="Currency">
      <calculatedColumnFormula>SUM(Table134[[#This Row],[Valor de la Factura del Cliente]:[Avance]])+P8</calculatedColumnFormula>
      <totalsRowFormula>+P89</totalsRowFormula>
    </tableColumn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92693-417A-4A0C-8DA4-79999AECAD5A}" name="Table135" displayName="Table135" ref="B12:P28" totalsRowCount="1" headerRowDxfId="287" dataDxfId="285" totalsRowDxfId="283" headerRowBorderDxfId="286" tableBorderDxfId="284" totalsRowBorderDxfId="282">
  <autoFilter ref="B12:P27" xr:uid="{D91A5743-CB98-4EFA-AC17-1730C7F56453}"/>
  <tableColumns count="15">
    <tableColumn id="1" xr3:uid="{A9653C6D-8A16-4DBC-8ACA-036BA129D8A9}" name="Fecha" dataDxfId="281" totalsRowDxfId="280"/>
    <tableColumn id="2" xr3:uid="{7E1D0A5F-205C-404F-B30F-9E66DA603A56}" name="Número" dataDxfId="279" totalsRowDxfId="278"/>
    <tableColumn id="3" xr3:uid="{F505B4E7-4B37-4767-9134-87D184E13526}" name="Tipo" dataDxfId="277" totalsRowDxfId="276"/>
    <tableColumn id="4" xr3:uid="{F974128E-7986-403B-A592-7B1EC114EB13}" name="Método de pago" dataDxfId="275" totalsRowDxfId="274"/>
    <tableColumn id="5" xr3:uid="{4D4930C2-E925-4CA3-B4D7-9A93DA18D37F}" name="Nombre" dataDxfId="273" totalsRowDxfId="272"/>
    <tableColumn id="6" xr3:uid="{B5522FE1-1511-47FA-A07A-53D32005DA59}" name="Concepto" totalsRowLabel="TOTAL" dataDxfId="271" totalsRowDxfId="270"/>
    <tableColumn id="7" xr3:uid="{FB42A660-071B-4C4B-89B2-CFB2395C07F9}" name="Valor de la Factura del Cliente" totalsRowFunction="sum" dataDxfId="269" totalsRowDxfId="268" dataCellStyle="Currency"/>
    <tableColumn id="8" xr3:uid="{5E4A360E-A0A5-4F10-88F5-E47AA66F9D3A}" name="Cargos Bancarios" totalsRowFunction="sum" dataDxfId="267" totalsRowDxfId="266" dataCellStyle="Currency"/>
    <tableColumn id="15" xr3:uid="{DE461891-59EB-43F1-A821-3E62AC39BECA}" name="50% Fee" dataDxfId="265" totalsRowDxfId="264" dataCellStyle="Currency"/>
    <tableColumn id="9" xr3:uid="{1D397FCF-6141-4823-B9D7-8C79A5C545A2}" name="20% Comisión" totalsRowFunction="sum" dataDxfId="263" totalsRowDxfId="262" dataCellStyle="Currency"/>
    <tableColumn id="10" xr3:uid="{5EE452FE-3B99-46B4-9791-0E0431B1C60B}" name="5% Legal" totalsRowFunction="sum" dataDxfId="261" totalsRowDxfId="260" dataCellStyle="Currency"/>
    <tableColumn id="11" xr3:uid="{0B5D3A9F-1033-4E48-BF45-54E67087775A}" name="Retención de Impuestos" totalsRowFunction="sum" dataDxfId="259" totalsRowDxfId="258" dataCellStyle="Currency"/>
    <tableColumn id="12" xr3:uid="{A01C4D8B-533B-4199-AB5C-34E6F6B87260}" name="Pagado por MVPX" totalsRowFunction="sum" dataDxfId="257" totalsRowDxfId="256" dataCellStyle="Currency"/>
    <tableColumn id="13" xr3:uid="{AA0FED3C-B128-4CCE-8CF2-B3E828762DB9}" name="Avance" totalsRowFunction="sum" dataDxfId="255" totalsRowDxfId="254" dataCellStyle="Currency"/>
    <tableColumn id="14" xr3:uid="{22979112-5B50-4150-AC95-628022861251}" name="Balance" totalsRowFunction="custom" dataDxfId="253" totalsRowDxfId="252" dataCellStyle="Currency">
      <calculatedColumnFormula>SUM(Table135[[#This Row],[Valor de la Factura del Cliente]:[Avance]])+P12</calculatedColumnFormula>
      <totalsRowFormula>SUM(Table135[[#Totals],[Valor de la Factura del Cliente]:[Avance]])</totalsRow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6EFD1E-1F33-49C5-B5DD-5B6AB83311E1}" name="Table136" displayName="Table136" ref="B12:P44" totalsRowCount="1" headerRowDxfId="251" dataDxfId="249" totalsRowDxfId="247" headerRowBorderDxfId="250" tableBorderDxfId="248" totalsRowBorderDxfId="246">
  <autoFilter ref="B12:P43" xr:uid="{D91A5743-CB98-4EFA-AC17-1730C7F56453}"/>
  <tableColumns count="15">
    <tableColumn id="1" xr3:uid="{08D06904-6EDA-4965-B9EE-50223EA631BE}" name="Fecha" dataDxfId="245" totalsRowDxfId="244"/>
    <tableColumn id="2" xr3:uid="{922D8D62-4847-482F-8C01-68638E00E5D0}" name="Número" dataDxfId="243" totalsRowDxfId="242"/>
    <tableColumn id="3" xr3:uid="{F1931308-DB73-40A5-B352-2758B7D8102B}" name="Tipo" dataDxfId="241" totalsRowDxfId="240"/>
    <tableColumn id="4" xr3:uid="{38F10D01-A105-4FD1-9524-F59E236ED1A2}" name="Método de pago" dataDxfId="239" totalsRowDxfId="238"/>
    <tableColumn id="5" xr3:uid="{FA6AEEB5-D13B-4B93-867E-622C5D497AF2}" name="Nombre" dataDxfId="237" totalsRowDxfId="236"/>
    <tableColumn id="6" xr3:uid="{3D463221-2B54-4AC4-9563-52E5886AEC49}" name="Concepto" totalsRowLabel="TOTAL" dataDxfId="235" totalsRowDxfId="234"/>
    <tableColumn id="7" xr3:uid="{A2D76DC1-4540-4DD6-837C-D02DCD815B8A}" name="Valor de la Factura del Cliente" totalsRowFunction="sum" dataDxfId="233" totalsRowDxfId="232" dataCellStyle="Currency" totalsRowCellStyle="Currency"/>
    <tableColumn id="8" xr3:uid="{916F710C-D70F-40B9-B2B7-D9182AC6EE1E}" name="Cargos Bancarios" totalsRowFunction="sum" dataDxfId="231" totalsRowDxfId="230" dataCellStyle="Currency" totalsRowCellStyle="Currency"/>
    <tableColumn id="15" xr3:uid="{627519D8-A346-4E65-80C2-E3A0D22FED5D}" name="50% Fee" dataDxfId="229" totalsRowDxfId="228" dataCellStyle="Currency" totalsRowCellStyle="Currency"/>
    <tableColumn id="9" xr3:uid="{5448AEEF-A087-41DE-9DA6-E1112783E027}" name="20% Comisión" totalsRowFunction="sum" dataDxfId="227" totalsRowDxfId="226" dataCellStyle="Currency" totalsRowCellStyle="Currency"/>
    <tableColumn id="10" xr3:uid="{3929EC09-0E2C-4A4F-A9FA-02127BABF102}" name="5% Legal" totalsRowFunction="sum" dataDxfId="225" totalsRowDxfId="224" dataCellStyle="Currency" totalsRowCellStyle="Currency"/>
    <tableColumn id="11" xr3:uid="{D525895E-4940-4C3B-9980-6B4555888D56}" name="Retención de Impuestos" totalsRowFunction="sum" dataDxfId="223" totalsRowDxfId="222" dataCellStyle="Currency" totalsRowCellStyle="Currency"/>
    <tableColumn id="12" xr3:uid="{EBC2F969-E52B-456D-82B2-A48933981984}" name="Pagado por MVPX" totalsRowFunction="sum" dataDxfId="221" totalsRowDxfId="220" dataCellStyle="Currency"/>
    <tableColumn id="13" xr3:uid="{BD999E48-FEAD-4A33-B98C-832F76E83E9D}" name="Avance" totalsRowFunction="sum" dataDxfId="219" totalsRowDxfId="218" dataCellStyle="Currency"/>
    <tableColumn id="14" xr3:uid="{4B7EA19C-37DC-42D8-9F7A-800FBDE93C49}" name="Balance" totalsRowFunction="custom" dataDxfId="217" totalsRowDxfId="216" dataCellStyle="Currency">
      <calculatedColumnFormula>SUM(Table136[[#This Row],[Valor de la Factura del Cliente]:[Avance]])+P12</calculatedColumnFormula>
      <totalsRowFormula>SUM(Table136[[#Totals],[Valor de la Factura del Cliente]:[Avance]])</totalsRowFormula>
    </tableColumn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4307EF-0EEC-4224-8882-4022FFC6F118}" name="Table13478" displayName="Table13478" ref="B8:P81" totalsRowCount="1" headerRowDxfId="215" dataDxfId="213" totalsRowDxfId="211" headerRowBorderDxfId="214" tableBorderDxfId="212" totalsRowBorderDxfId="210">
  <autoFilter ref="B8:P80" xr:uid="{D91A5743-CB98-4EFA-AC17-1730C7F56453}"/>
  <tableColumns count="15">
    <tableColumn id="1" xr3:uid="{E5727EBE-C254-404D-A034-9EF227D97CA7}" name="Fecha" dataDxfId="209" totalsRowDxfId="208"/>
    <tableColumn id="2" xr3:uid="{D7F7B717-4F88-437B-ADE8-6E0CF9DF198F}" name="Número" dataDxfId="207" totalsRowDxfId="206"/>
    <tableColumn id="3" xr3:uid="{E24FE975-A78A-42ED-84F7-7AB46FF75F1C}" name="Tipo" dataDxfId="205" totalsRowDxfId="204"/>
    <tableColumn id="4" xr3:uid="{12E32627-2B2E-427A-BFA9-59FDE6CFEF1F}" name="Método de pago" dataDxfId="203" totalsRowDxfId="202"/>
    <tableColumn id="5" xr3:uid="{25AFED69-654E-49CB-87D7-9EB276FC3DCF}" name="Nombre" dataDxfId="201" totalsRowDxfId="200"/>
    <tableColumn id="6" xr3:uid="{0093D207-D91C-4A79-9BF5-14338A5DF504}" name="Concepto" totalsRowLabel="TOTAL" dataDxfId="199" totalsRowDxfId="198"/>
    <tableColumn id="7" xr3:uid="{B408B35E-F05F-45CC-AF56-C461640495B7}" name="Valor de la Factura del Cliente" totalsRowFunction="sum" dataDxfId="197" totalsRowDxfId="196" dataCellStyle="Currency"/>
    <tableColumn id="8" xr3:uid="{7CB06435-7335-4AB8-8D73-ABA7C37E9551}" name="Cargos Bancarios" totalsRowFunction="sum" dataDxfId="195" totalsRowDxfId="194" dataCellStyle="Currency"/>
    <tableColumn id="15" xr3:uid="{3098DB64-D7B0-48EE-80CD-78DFDCA1DEB3}" name="50% Fee" dataDxfId="193" totalsRowDxfId="192" dataCellStyle="Currency"/>
    <tableColumn id="9" xr3:uid="{33A909F6-FFE9-4D7C-A046-37098C3AF446}" name="20% Comisión" totalsRowFunction="sum" dataDxfId="191" totalsRowDxfId="190" dataCellStyle="Currency">
      <calculatedColumnFormula>Table13478[[#This Row],[Valor de la Factura del Cliente]]*0.2</calculatedColumnFormula>
    </tableColumn>
    <tableColumn id="10" xr3:uid="{A5E42441-18C7-4143-BF3D-CB7EA35BD529}" name="5% Legal" totalsRowFunction="sum" dataDxfId="189" totalsRowDxfId="188" dataCellStyle="Currency">
      <calculatedColumnFormula>+Table13478[[#This Row],[Valor de la Factura del Cliente]]*0.05</calculatedColumnFormula>
    </tableColumn>
    <tableColumn id="11" xr3:uid="{2F35088B-803C-4B8E-AC53-A15DFEF56B3E}" name="Retención de Impuestos" totalsRowFunction="sum" dataDxfId="187" totalsRowDxfId="186" dataCellStyle="Currency"/>
    <tableColumn id="12" xr3:uid="{3571E10E-3E76-439E-9D93-9934EFD50A35}" name="Pagado por MVPX" totalsRowFunction="sum" dataDxfId="185" totalsRowDxfId="184" dataCellStyle="Currency"/>
    <tableColumn id="13" xr3:uid="{83B16473-C620-4B8B-899B-6D4906DB63FF}" name="Avance" totalsRowFunction="sum" dataDxfId="183" totalsRowDxfId="182" dataCellStyle="Currency"/>
    <tableColumn id="14" xr3:uid="{DEE18555-FA11-4E3F-BCCB-1657A161362B}" name="Balance" totalsRowFunction="custom" dataDxfId="181" totalsRowDxfId="180" dataCellStyle="Currency">
      <calculatedColumnFormula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</calculatedColumnFormula>
      <totalsRowFormula>P80</totalsRow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CDE194-B03B-4F1C-8DFD-ABDA7EDB19D5}" name="Table13479" displayName="Table13479" ref="B8:P29" totalsRowCount="1" headerRowDxfId="179" dataDxfId="177" totalsRowDxfId="175" headerRowBorderDxfId="178" tableBorderDxfId="176" totalsRowBorderDxfId="174">
  <autoFilter ref="B8:P28" xr:uid="{D91A5743-CB98-4EFA-AC17-1730C7F56453}"/>
  <tableColumns count="15">
    <tableColumn id="1" xr3:uid="{AA9BF08D-AF95-43DE-8669-42A218CB7208}" name="Fecha" dataDxfId="173" totalsRowDxfId="172"/>
    <tableColumn id="2" xr3:uid="{A65A0888-9EBD-4164-852E-6E02CE69E9A2}" name="Número" dataDxfId="171" totalsRowDxfId="170"/>
    <tableColumn id="3" xr3:uid="{EE044B12-8297-443A-B8DA-C7A245506E9D}" name="Tipo" dataDxfId="169" totalsRowDxfId="168"/>
    <tableColumn id="4" xr3:uid="{8FF2A398-1A4F-428B-BD5B-920C1E2F27E7}" name="Método de pago" dataDxfId="167" totalsRowDxfId="166"/>
    <tableColumn id="5" xr3:uid="{B6E080A8-A539-4A77-9A8B-984E69233786}" name="Nombre" dataDxfId="165" totalsRowDxfId="164"/>
    <tableColumn id="6" xr3:uid="{821F7892-F367-48A1-A3AF-C99425AF75BC}" name="Concepto" totalsRowLabel="TOTAL" dataDxfId="163" totalsRowDxfId="162"/>
    <tableColumn id="7" xr3:uid="{362FC98A-0CA6-4ADF-ADFB-B4C88E4C3C0D}" name="Valor de la Factura del Cliente" totalsRowFunction="sum" dataDxfId="161" totalsRowDxfId="160" dataCellStyle="Currency"/>
    <tableColumn id="8" xr3:uid="{2995EE12-5F59-4485-9095-65429513F0D2}" name="Cargos Bancarios" totalsRowFunction="sum" dataDxfId="159" totalsRowDxfId="158" dataCellStyle="Currency"/>
    <tableColumn id="15" xr3:uid="{A1C3A850-6780-49BD-BF15-B68B5C9128B4}" name="50% Fee" dataDxfId="157" totalsRowDxfId="156" dataCellStyle="Currency"/>
    <tableColumn id="9" xr3:uid="{66138A58-5BF3-43A6-84F7-52E03345C6B6}" name="20% Comisión" totalsRowFunction="sum" dataDxfId="155" totalsRowDxfId="154" dataCellStyle="Currency">
      <calculatedColumnFormula>Table13479[[#This Row],[Valor de la Factura del Cliente]]*0.2</calculatedColumnFormula>
    </tableColumn>
    <tableColumn id="10" xr3:uid="{08C62F64-C4F5-4A34-B947-FD8F597E97F9}" name="5% Legal" totalsRowFunction="sum" dataDxfId="153" totalsRowDxfId="152" dataCellStyle="Currency">
      <calculatedColumnFormula>Table13479[[#This Row],[Valor de la Factura del Cliente]]*0.05</calculatedColumnFormula>
    </tableColumn>
    <tableColumn id="11" xr3:uid="{BC8F5AC1-63DF-43DF-9272-1DEE4B05E0B9}" name="Retención de Impuestos" totalsRowFunction="sum" dataDxfId="151" totalsRowDxfId="150" dataCellStyle="Currency"/>
    <tableColumn id="12" xr3:uid="{138E31A2-06B6-45AE-BB3B-2445FAE30E41}" name="Pagado por MVPX" totalsRowFunction="sum" dataDxfId="149" totalsRowDxfId="148" dataCellStyle="Currency"/>
    <tableColumn id="13" xr3:uid="{15C678F0-96F1-4367-8EFD-9B60FD0A5A4B}" name="Avance" totalsRowFunction="sum" dataDxfId="147" totalsRowDxfId="146" dataCellStyle="Currency"/>
    <tableColumn id="14" xr3:uid="{BC10103B-9CAE-43FE-AE25-CE65D5F799D2}" name="Balance" totalsRowFunction="custom" dataDxfId="145" totalsRowDxfId="144" dataCellStyle="Currency">
      <calculatedColumnFormula>+Table13479[[#This Row],[Valor de la Factura del Cliente]]-SUM(Table13479[[#This Row],[Cargos Bancarios]:[Avance]])</calculatedColumnFormula>
      <totalsRowFormula>+P28</totalsRowFormula>
    </tableColumn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0D1D61-B578-4F5B-B377-9A4C901982B7}" name="Table134711" displayName="Table134711" ref="B8:P74" totalsRowCount="1" headerRowDxfId="143" dataDxfId="141" totalsRowDxfId="139" headerRowBorderDxfId="142" tableBorderDxfId="140" totalsRowBorderDxfId="138">
  <autoFilter ref="B8:P73" xr:uid="{D91A5743-CB98-4EFA-AC17-1730C7F56453}"/>
  <tableColumns count="15">
    <tableColumn id="1" xr3:uid="{13CD02BB-DA5E-4767-B6A9-6B6977FE9ACF}" name="Fecha" dataDxfId="137" totalsRowDxfId="136"/>
    <tableColumn id="2" xr3:uid="{AC012734-8491-4FD9-A6C1-7DDBE5C047F5}" name="Número" dataDxfId="135" totalsRowDxfId="134"/>
    <tableColumn id="3" xr3:uid="{718B4AF0-7B02-48D7-882D-12D3DEB39D57}" name="Tipo" dataDxfId="133" totalsRowDxfId="132"/>
    <tableColumn id="4" xr3:uid="{8ED628AA-B1DA-462A-8B7C-442736F90C02}" name="Método de pago" dataDxfId="131" totalsRowDxfId="130"/>
    <tableColumn id="5" xr3:uid="{1B0534A1-519E-4674-9B23-E77FA800AF6E}" name="Nombre" dataDxfId="129" totalsRowDxfId="128"/>
    <tableColumn id="6" xr3:uid="{01FCB60D-E92B-4C99-ABCF-19DBC9555202}" name="Concepto" totalsRowLabel="TOTAL" dataDxfId="127" totalsRowDxfId="126"/>
    <tableColumn id="7" xr3:uid="{5F44522D-E049-4F3F-AF60-8EBD99B9E6CC}" name="Valor de la Factura del Cliente" totalsRowFunction="sum" dataDxfId="125" totalsRowDxfId="124" dataCellStyle="Currency"/>
    <tableColumn id="8" xr3:uid="{5AFC416C-7E44-4AE4-A572-550329AAB16F}" name="Cargos Bancarios" totalsRowFunction="sum" dataDxfId="123" totalsRowDxfId="122" dataCellStyle="Currency"/>
    <tableColumn id="15" xr3:uid="{27B3488C-7A53-4A1F-BC23-D570BA79B258}" name="50% Fee" dataDxfId="121" totalsRowDxfId="120" dataCellStyle="Currency"/>
    <tableColumn id="9" xr3:uid="{5F8474E8-1B0E-4901-A5F7-5106A008C9A1}" name="20% Comisión" totalsRowFunction="sum" dataDxfId="119" totalsRowDxfId="118" dataCellStyle="Currency"/>
    <tableColumn id="10" xr3:uid="{4C2366D6-3DB7-48D4-AB4B-F308A74405F0}" name="5% Legal" totalsRowFunction="sum" dataDxfId="117" totalsRowDxfId="116" dataCellStyle="Currency"/>
    <tableColumn id="11" xr3:uid="{5B59502F-6DEA-4FCA-A34C-CF998F884EFF}" name="Retención de Impuestos" totalsRowFunction="sum" dataDxfId="115" totalsRowDxfId="114" dataCellStyle="Currency"/>
    <tableColumn id="12" xr3:uid="{454CC94B-FDE5-4C9A-ADB2-BB401B85E62C}" name="Pagado por MVPX" totalsRowFunction="sum" dataDxfId="113" totalsRowDxfId="112" dataCellStyle="Currency"/>
    <tableColumn id="13" xr3:uid="{46B4FED1-E16A-45BA-A80C-9D98BAFF3D1B}" name="Avance" totalsRowFunction="sum" dataDxfId="111" totalsRowDxfId="110" dataCellStyle="Currency"/>
    <tableColumn id="14" xr3:uid="{77FB8F4D-CF59-492A-AAFF-E04289F97035}" name="Balance" totalsRowFunction="custom" dataDxfId="109" totalsRowDxfId="108" dataCellStyle="Currency">
      <totalsRowFormula>+P73</totalsRow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DE527E-F2A7-453B-AF11-A933264E616C}" name="Table134712" displayName="Table134712" ref="B8:P78" totalsRowCount="1" headerRowDxfId="107" dataDxfId="105" totalsRowDxfId="103" headerRowBorderDxfId="106" tableBorderDxfId="104" totalsRowBorderDxfId="102">
  <autoFilter ref="B8:P77" xr:uid="{D91A5743-CB98-4EFA-AC17-1730C7F56453}"/>
  <tableColumns count="15">
    <tableColumn id="1" xr3:uid="{5BA4786D-2BEE-487D-84E4-76CAC8F0F0A8}" name="Fecha" dataDxfId="101" totalsRowDxfId="100"/>
    <tableColumn id="2" xr3:uid="{A6DAA4E1-C741-4F4B-88DA-410C1271F1EB}" name="Número" dataDxfId="99" totalsRowDxfId="98"/>
    <tableColumn id="3" xr3:uid="{CCB873BC-AC30-49CE-A2E4-304593766159}" name="Tipo" dataDxfId="97" totalsRowDxfId="96"/>
    <tableColumn id="4" xr3:uid="{977CAD58-F0AE-475F-8F93-66FB2BF91447}" name="Método de pago" dataDxfId="95" totalsRowDxfId="94"/>
    <tableColumn id="5" xr3:uid="{455951C6-E533-4636-931C-C3661B495D9C}" name="Nombre" dataDxfId="93" totalsRowDxfId="92"/>
    <tableColumn id="6" xr3:uid="{BCF9CABC-E514-45B8-9FB0-0BB4EB5BD46D}" name="Concepto" totalsRowLabel="TOTAL" dataDxfId="91" totalsRowDxfId="90"/>
    <tableColumn id="7" xr3:uid="{7270C1E1-0307-4D72-944F-8277642A7D50}" name="Valor de la Factura del Cliente" totalsRowFunction="sum" dataDxfId="89" totalsRowDxfId="88" dataCellStyle="Currency"/>
    <tableColumn id="8" xr3:uid="{23870973-D22B-4B04-928C-4E723C84F5FA}" name="Cargos Bancarios" totalsRowFunction="sum" dataDxfId="87" totalsRowDxfId="86" dataCellStyle="Currency"/>
    <tableColumn id="15" xr3:uid="{57E157BD-7A4D-4107-B28D-160CCB7F0883}" name="50% Fee" dataDxfId="85" totalsRowDxfId="84" dataCellStyle="Currency"/>
    <tableColumn id="9" xr3:uid="{1D8FBD1A-E8A4-4BEF-BC95-B57FD29FBE53}" name="20% Comisión" totalsRowFunction="sum" dataDxfId="83" totalsRowDxfId="82" dataCellStyle="Currency">
      <calculatedColumnFormula>Table134712[[#This Row],[Valor de la Factura del Cliente]]*-0.2</calculatedColumnFormula>
    </tableColumn>
    <tableColumn id="10" xr3:uid="{FD3E0D70-81C4-4BAD-A670-8929056488AC}" name="5% Legal" totalsRowFunction="sum" dataDxfId="81" totalsRowDxfId="80" dataCellStyle="Currency">
      <calculatedColumnFormula>+Table134712[[#This Row],[Valor de la Factura del Cliente]]*-0.05</calculatedColumnFormula>
    </tableColumn>
    <tableColumn id="11" xr3:uid="{10CB617B-0EBB-4297-8D04-F7F2AED7AC2B}" name="Retención de Impuestos" totalsRowFunction="sum" dataDxfId="79" totalsRowDxfId="78" dataCellStyle="Currency"/>
    <tableColumn id="12" xr3:uid="{D420C893-5C72-4AE3-925C-530045EFCD54}" name="Pagado por MVPX" totalsRowFunction="sum" dataDxfId="77" totalsRowDxfId="76" dataCellStyle="Currency"/>
    <tableColumn id="13" xr3:uid="{A9561F13-C480-4895-9BED-B503BA7FC35A}" name="Avance" totalsRowFunction="sum" dataDxfId="75" totalsRowDxfId="74" dataCellStyle="Currency"/>
    <tableColumn id="14" xr3:uid="{90DF0345-4FF5-42BF-9460-E307E485B7C9}" name="Balance" totalsRowFunction="custom" dataDxfId="73" totalsRowDxfId="72" dataCellStyle="Currency">
      <totalsRowFormula>+#REF!</totalsRowFormula>
    </tableColumn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2D95AC-EA60-4B4A-A195-EA12104F0666}" name="Table134713" displayName="Table134713" ref="B8:P36" totalsRowCount="1" headerRowDxfId="71" dataDxfId="69" totalsRowDxfId="67" headerRowBorderDxfId="70" tableBorderDxfId="68" totalsRowBorderDxfId="66">
  <autoFilter ref="B8:P35" xr:uid="{D91A5743-CB98-4EFA-AC17-1730C7F56453}"/>
  <tableColumns count="15">
    <tableColumn id="1" xr3:uid="{AE7BD25E-4939-43D1-BB9E-41C38CE73A20}" name="Fecha" dataDxfId="65" totalsRowDxfId="64"/>
    <tableColumn id="2" xr3:uid="{A47C9062-8ECA-4621-A402-47868605B967}" name="Número" dataDxfId="63" totalsRowDxfId="62"/>
    <tableColumn id="3" xr3:uid="{8788840B-5195-4FE8-94E6-8B3E2BD64206}" name="Tipo" dataDxfId="61" totalsRowDxfId="60"/>
    <tableColumn id="4" xr3:uid="{B136993B-F252-4325-8FD5-7F45E4A6C2CA}" name="Método de pago" dataDxfId="59" totalsRowDxfId="58"/>
    <tableColumn id="5" xr3:uid="{237746ED-C04C-43AC-A1B5-EBCB9D3B385F}" name="Nombre" dataDxfId="57" totalsRowDxfId="56"/>
    <tableColumn id="6" xr3:uid="{E83C7F4A-2DA2-4C1D-83B7-6B6FD510C56B}" name="Concepto" totalsRowLabel="TOTAL" dataDxfId="55" totalsRowDxfId="54"/>
    <tableColumn id="7" xr3:uid="{90517762-5E38-43FA-AB59-F86642CEF70C}" name="Valor de la Factura del Cliente" totalsRowFunction="sum" dataDxfId="53" totalsRowDxfId="52" dataCellStyle="Currency"/>
    <tableColumn id="8" xr3:uid="{CC606535-DB04-4134-BBF7-39EF7CCA8594}" name="Cargos Bancarios" totalsRowFunction="sum" dataDxfId="51" totalsRowDxfId="50" dataCellStyle="Currency"/>
    <tableColumn id="15" xr3:uid="{53EC4B75-FE3A-4440-AE8B-18EAAA540640}" name="50% Fee" dataDxfId="49" totalsRowDxfId="48" dataCellStyle="Currency"/>
    <tableColumn id="9" xr3:uid="{DFECEEA6-D7D8-40AD-A52A-242D0BB0A66D}" name="20% Comisión" totalsRowFunction="sum" dataDxfId="47" totalsRowDxfId="46" dataCellStyle="Currency"/>
    <tableColumn id="10" xr3:uid="{0866BD2D-C905-4FF0-A7FE-D721A835C1BF}" name="5% Legal" totalsRowFunction="sum" dataDxfId="45" totalsRowDxfId="44" dataCellStyle="Currency"/>
    <tableColumn id="11" xr3:uid="{5EFEE9F9-1531-4841-9859-4A5394471A20}" name="Retención de Impuestos" totalsRowFunction="sum" dataDxfId="43" totalsRowDxfId="42" dataCellStyle="Currency"/>
    <tableColumn id="12" xr3:uid="{38422E15-0475-471A-88DE-FFAF3795FA30}" name="Pagado por MVPX" totalsRowFunction="sum" dataDxfId="41" totalsRowDxfId="40" dataCellStyle="Currency"/>
    <tableColumn id="13" xr3:uid="{BB32BCFB-7E58-4243-8206-FD994D4B8710}" name="Avance" totalsRowFunction="sum" dataDxfId="39" totalsRowDxfId="38" dataCellStyle="Currency"/>
    <tableColumn id="14" xr3:uid="{2C3D8449-5362-40F3-9E96-F975868E7C05}" name="Balance" totalsRowFunction="custom" dataDxfId="37" totalsRowDxfId="36" dataCellStyle="Currency">
      <totalsRowFormula>+P35</totalsRow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BC73E8D-8455-4DB2-B845-B502114E7027}" name="Table13471516" displayName="Table13471516" ref="B8:P33" totalsRowCount="1" headerRowDxfId="35" dataDxfId="33" totalsRowDxfId="31" headerRowBorderDxfId="34" tableBorderDxfId="32" totalsRowBorderDxfId="30">
  <autoFilter ref="B8:P32" xr:uid="{D91A5743-CB98-4EFA-AC17-1730C7F56453}"/>
  <tableColumns count="15">
    <tableColumn id="1" xr3:uid="{5FDBDC7F-2477-4F55-B241-7CEFF46D5853}" name="Fecha" dataDxfId="29" totalsRowDxfId="28"/>
    <tableColumn id="2" xr3:uid="{4626A484-6DA9-468A-ADB0-FE3B52B70EFB}" name="Número" dataDxfId="27" totalsRowDxfId="26"/>
    <tableColumn id="3" xr3:uid="{895B67A8-EFA1-4614-A558-737588C0EC8B}" name="Tipo" dataDxfId="25" totalsRowDxfId="24"/>
    <tableColumn id="4" xr3:uid="{1D609BA9-37A3-4084-9AF2-2864B4C1CA71}" name="Método de pago" dataDxfId="23" totalsRowDxfId="22"/>
    <tableColumn id="5" xr3:uid="{C03F0305-AF63-4032-B3B8-6379AC9F8CB9}" name="Nombre" dataDxfId="21" totalsRowDxfId="20"/>
    <tableColumn id="6" xr3:uid="{94EC779E-7A45-4C61-A8B7-0F384F197F33}" name="Concepto" totalsRowLabel="TOTAL" dataDxfId="19" totalsRowDxfId="18"/>
    <tableColumn id="7" xr3:uid="{A750C50C-323C-437D-921F-89C885884917}" name="Valor de la Factura del Cliente" totalsRowFunction="sum" dataDxfId="17" totalsRowDxfId="16" dataCellStyle="Currency"/>
    <tableColumn id="8" xr3:uid="{CF871F5E-ECBB-4AB0-BBD0-DC14BD87DFFB}" name="Cargos Bancarios" totalsRowFunction="sum" dataDxfId="15" totalsRowDxfId="14" dataCellStyle="Currency"/>
    <tableColumn id="15" xr3:uid="{9F4C9775-5C82-4955-BE05-53A11EDA5677}" name="50% Fee" dataDxfId="13" totalsRowDxfId="12" dataCellStyle="Currency"/>
    <tableColumn id="9" xr3:uid="{B00A9829-BA0A-459E-8370-273BF0720E43}" name="20% Comisión" totalsRowFunction="sum" dataDxfId="11" totalsRowDxfId="10" dataCellStyle="Currency"/>
    <tableColumn id="10" xr3:uid="{8C47D592-96C7-4ED8-9BA8-86FC81FE3879}" name="5% Legal" totalsRowFunction="sum" dataDxfId="9" totalsRowDxfId="8" dataCellStyle="Currency"/>
    <tableColumn id="11" xr3:uid="{D4A15672-D55B-42CE-9156-CAAD0EEE3892}" name="Retención de Impuestos" totalsRowFunction="sum" dataDxfId="7" totalsRowDxfId="6" dataCellStyle="Currency"/>
    <tableColumn id="12" xr3:uid="{DB4B161F-BE8A-4FEE-B6BD-25831EB70A84}" name="Pagado por MVPX" totalsRowFunction="sum" dataDxfId="5" totalsRowDxfId="4" dataCellStyle="Currency"/>
    <tableColumn id="13" xr3:uid="{E76F808A-B49D-42B2-B6B9-63220BFB5CF9}" name="Avance" totalsRowFunction="sum" dataDxfId="3" totalsRowDxfId="2" dataCellStyle="Currency"/>
    <tableColumn id="14" xr3:uid="{02EB2057-9325-4087-A163-43D0F4E1B3CA}" name="Balance" totalsRowFunction="custom" dataDxfId="1" totalsRowDxfId="0" dataCellStyle="Currency">
      <totalsRowFormula>+P32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nalizerrecords@gmail.com" TargetMode="External"/><Relationship Id="rId13" Type="http://schemas.openxmlformats.org/officeDocument/2006/relationships/hyperlink" Target="mailto:Jayrozzbooking@gmail.com" TargetMode="External"/><Relationship Id="rId3" Type="http://schemas.openxmlformats.org/officeDocument/2006/relationships/hyperlink" Target="mailto:williamjarteaga@gmail.com" TargetMode="External"/><Relationship Id="rId7" Type="http://schemas.openxmlformats.org/officeDocument/2006/relationships/hyperlink" Target="mailto:onlymaiky@gmail.com" TargetMode="External"/><Relationship Id="rId12" Type="http://schemas.openxmlformats.org/officeDocument/2006/relationships/hyperlink" Target="mailto:contactoecby@gmail.com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Energymusicvzla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dayanmvpx@gmail.com" TargetMode="External"/><Relationship Id="rId6" Type="http://schemas.openxmlformats.org/officeDocument/2006/relationships/hyperlink" Target="mailto:borngud22@gmail.com" TargetMode="External"/><Relationship Id="rId11" Type="http://schemas.openxmlformats.org/officeDocument/2006/relationships/hyperlink" Target="mailto:Erickandrescm@gmail.com" TargetMode="External"/><Relationship Id="rId5" Type="http://schemas.openxmlformats.org/officeDocument/2006/relationships/hyperlink" Target="mailto:maribell.duarte@jordyjill.com" TargetMode="External"/><Relationship Id="rId15" Type="http://schemas.openxmlformats.org/officeDocument/2006/relationships/hyperlink" Target="mailto:info.lennis@gmail.com" TargetMode="External"/><Relationship Id="rId10" Type="http://schemas.openxmlformats.org/officeDocument/2006/relationships/hyperlink" Target="mailto:achebookings@gmail.com" TargetMode="External"/><Relationship Id="rId4" Type="http://schemas.openxmlformats.org/officeDocument/2006/relationships/hyperlink" Target="mailto:dimelosuper@gmail.com" TargetMode="External"/><Relationship Id="rId9" Type="http://schemas.openxmlformats.org/officeDocument/2006/relationships/hyperlink" Target="mailto:mozartmuzik2@gmail.com" TargetMode="External"/><Relationship Id="rId14" Type="http://schemas.openxmlformats.org/officeDocument/2006/relationships/hyperlink" Target="mailto:prodbycubo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admin@mvpxmusic.com" TargetMode="External"/><Relationship Id="rId4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admin@mvpxmusic.com" TargetMode="External"/><Relationship Id="rId4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admin@mvpxmusic.com" TargetMode="External"/><Relationship Id="rId4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32EF-9A6C-4A30-AE33-C1F4BDB30485}">
  <dimension ref="A4:M24"/>
  <sheetViews>
    <sheetView workbookViewId="0">
      <selection activeCell="D28" sqref="A28:D28"/>
    </sheetView>
  </sheetViews>
  <sheetFormatPr defaultRowHeight="18" x14ac:dyDescent="0.45"/>
  <cols>
    <col min="1" max="1" width="5.28515625" style="2" customWidth="1"/>
    <col min="2" max="2" width="18.7109375" style="2" bestFit="1" customWidth="1"/>
    <col min="3" max="3" width="20.7109375" style="2" bestFit="1" customWidth="1"/>
    <col min="4" max="4" width="22" style="2" bestFit="1" customWidth="1"/>
    <col min="5" max="5" width="42.7109375" style="2" bestFit="1" customWidth="1"/>
    <col min="6" max="6" width="7.85546875" style="2" bestFit="1" customWidth="1"/>
    <col min="7" max="7" width="13.7109375" style="2" bestFit="1" customWidth="1"/>
    <col min="8" max="8" width="20.42578125" style="2" bestFit="1" customWidth="1"/>
    <col min="9" max="9" width="31.85546875" style="2" bestFit="1" customWidth="1"/>
    <col min="10" max="10" width="10.42578125" style="2" bestFit="1" customWidth="1"/>
    <col min="11" max="11" width="8" style="2" bestFit="1" customWidth="1"/>
    <col min="12" max="12" width="9.42578125" style="2" bestFit="1" customWidth="1"/>
    <col min="13" max="13" width="11.85546875" style="2" bestFit="1" customWidth="1"/>
    <col min="14" max="16384" width="9.140625" style="2"/>
  </cols>
  <sheetData>
    <row r="4" spans="1:13" x14ac:dyDescent="0.45">
      <c r="A4" s="5"/>
    </row>
    <row r="5" spans="1:13" x14ac:dyDescent="0.45">
      <c r="A5" s="5" t="s">
        <v>342</v>
      </c>
    </row>
    <row r="7" spans="1:13" s="7" customFormat="1" ht="35.25" x14ac:dyDescent="0.45">
      <c r="A7" s="6" t="s">
        <v>319</v>
      </c>
      <c r="B7" s="6" t="s">
        <v>0</v>
      </c>
      <c r="C7" s="6" t="s">
        <v>309</v>
      </c>
      <c r="D7" s="6" t="s">
        <v>326</v>
      </c>
      <c r="E7" s="6" t="s">
        <v>1</v>
      </c>
      <c r="F7" s="6" t="s">
        <v>2</v>
      </c>
      <c r="G7" s="6" t="s">
        <v>3</v>
      </c>
      <c r="H7" s="6" t="s">
        <v>4</v>
      </c>
      <c r="I7" s="6" t="s">
        <v>307</v>
      </c>
      <c r="J7" s="6" t="s">
        <v>341</v>
      </c>
      <c r="K7" s="6" t="s">
        <v>5</v>
      </c>
      <c r="L7" s="6" t="s">
        <v>6</v>
      </c>
      <c r="M7" s="6" t="s">
        <v>7</v>
      </c>
    </row>
    <row r="8" spans="1:13" x14ac:dyDescent="0.45">
      <c r="A8" s="3">
        <v>1</v>
      </c>
      <c r="B8" s="3" t="s">
        <v>8</v>
      </c>
      <c r="C8" s="3" t="s">
        <v>310</v>
      </c>
      <c r="D8" s="3" t="s">
        <v>8</v>
      </c>
      <c r="E8" s="3" t="s">
        <v>9</v>
      </c>
      <c r="F8" s="3" t="s">
        <v>10</v>
      </c>
      <c r="G8" s="3"/>
      <c r="H8" s="3"/>
      <c r="I8" s="4" t="s">
        <v>11</v>
      </c>
      <c r="J8" s="4"/>
      <c r="K8" s="3" t="s">
        <v>10</v>
      </c>
      <c r="L8" s="3"/>
      <c r="M8" s="3"/>
    </row>
    <row r="9" spans="1:13" x14ac:dyDescent="0.45">
      <c r="A9" s="3">
        <v>2</v>
      </c>
      <c r="B9" s="3" t="s">
        <v>12</v>
      </c>
      <c r="C9" s="3" t="s">
        <v>311</v>
      </c>
      <c r="D9" s="3" t="s">
        <v>327</v>
      </c>
      <c r="E9" s="3" t="s">
        <v>13</v>
      </c>
      <c r="F9" s="3" t="s">
        <v>14</v>
      </c>
      <c r="G9" s="3"/>
      <c r="H9" s="3"/>
      <c r="I9" s="4" t="s">
        <v>15</v>
      </c>
      <c r="J9" s="4"/>
      <c r="K9" s="3" t="s">
        <v>10</v>
      </c>
      <c r="L9" s="3" t="s">
        <v>10</v>
      </c>
      <c r="M9" s="3"/>
    </row>
    <row r="10" spans="1:13" x14ac:dyDescent="0.45">
      <c r="A10" s="3">
        <f t="shared" ref="A10:A24" si="0">+A9+1</f>
        <v>3</v>
      </c>
      <c r="B10" s="3" t="s">
        <v>16</v>
      </c>
      <c r="C10" s="3" t="s">
        <v>312</v>
      </c>
      <c r="D10" s="3" t="s">
        <v>332</v>
      </c>
      <c r="E10" s="3" t="s">
        <v>17</v>
      </c>
      <c r="F10" s="3"/>
      <c r="G10" s="3"/>
      <c r="H10" s="3"/>
      <c r="I10" s="4" t="s">
        <v>18</v>
      </c>
      <c r="J10" s="4"/>
      <c r="K10" s="3"/>
      <c r="L10" s="3" t="s">
        <v>10</v>
      </c>
      <c r="M10" s="3"/>
    </row>
    <row r="11" spans="1:13" x14ac:dyDescent="0.45">
      <c r="A11" s="3">
        <f>+A10+1</f>
        <v>4</v>
      </c>
      <c r="B11" s="3" t="s">
        <v>19</v>
      </c>
      <c r="C11" s="3" t="s">
        <v>313</v>
      </c>
      <c r="D11" s="3" t="s">
        <v>333</v>
      </c>
      <c r="E11" s="3" t="s">
        <v>20</v>
      </c>
      <c r="F11" s="3"/>
      <c r="G11" s="3"/>
      <c r="H11" s="3"/>
      <c r="I11" s="3"/>
      <c r="J11" s="3"/>
      <c r="K11" s="3" t="s">
        <v>14</v>
      </c>
      <c r="L11" s="3"/>
      <c r="M11" s="3"/>
    </row>
    <row r="12" spans="1:13" x14ac:dyDescent="0.45">
      <c r="A12" s="3">
        <f t="shared" si="0"/>
        <v>5</v>
      </c>
      <c r="B12" s="3" t="s">
        <v>21</v>
      </c>
      <c r="C12" s="3" t="s">
        <v>314</v>
      </c>
      <c r="D12" s="3" t="s">
        <v>328</v>
      </c>
      <c r="E12" s="3" t="s">
        <v>22</v>
      </c>
      <c r="F12" s="3" t="s">
        <v>23</v>
      </c>
      <c r="G12" s="3"/>
      <c r="H12" s="3"/>
      <c r="I12" s="4" t="s">
        <v>24</v>
      </c>
      <c r="J12" s="4"/>
      <c r="K12" s="3" t="s">
        <v>25</v>
      </c>
      <c r="L12" s="3" t="s">
        <v>25</v>
      </c>
      <c r="M12" s="3" t="s">
        <v>25</v>
      </c>
    </row>
    <row r="13" spans="1:13" x14ac:dyDescent="0.45">
      <c r="A13" s="3">
        <f t="shared" si="0"/>
        <v>6</v>
      </c>
      <c r="B13" s="3" t="s">
        <v>26</v>
      </c>
      <c r="C13" s="3"/>
      <c r="D13" s="3"/>
      <c r="E13" s="3"/>
      <c r="F13" s="3"/>
      <c r="G13" s="3"/>
      <c r="H13" s="3"/>
      <c r="I13" s="3"/>
      <c r="J13" s="3"/>
      <c r="K13" s="3" t="s">
        <v>14</v>
      </c>
      <c r="L13" s="3"/>
      <c r="M13" s="3"/>
    </row>
    <row r="14" spans="1:13" x14ac:dyDescent="0.45">
      <c r="A14" s="3">
        <v>7</v>
      </c>
      <c r="B14" s="3" t="s">
        <v>27</v>
      </c>
      <c r="C14" s="3" t="s">
        <v>315</v>
      </c>
      <c r="D14" s="3" t="s">
        <v>329</v>
      </c>
      <c r="E14" s="3" t="s">
        <v>28</v>
      </c>
      <c r="F14" s="3"/>
      <c r="G14" s="3"/>
      <c r="H14" s="3"/>
      <c r="I14" s="4" t="s">
        <v>29</v>
      </c>
      <c r="J14" s="4"/>
      <c r="K14" s="3" t="s">
        <v>14</v>
      </c>
      <c r="L14" s="3" t="s">
        <v>14</v>
      </c>
      <c r="M14" s="3"/>
    </row>
    <row r="15" spans="1:13" x14ac:dyDescent="0.45">
      <c r="A15" s="3">
        <f t="shared" si="0"/>
        <v>8</v>
      </c>
      <c r="B15" s="3" t="s">
        <v>30</v>
      </c>
      <c r="C15" s="3"/>
      <c r="D15" s="3" t="s">
        <v>31</v>
      </c>
      <c r="E15" s="3" t="s">
        <v>31</v>
      </c>
      <c r="F15" s="3"/>
      <c r="G15" s="3"/>
      <c r="H15" s="3"/>
      <c r="I15" s="4" t="s">
        <v>32</v>
      </c>
      <c r="J15" s="4"/>
      <c r="K15" s="3" t="s">
        <v>14</v>
      </c>
      <c r="L15" s="3"/>
      <c r="M15" s="3"/>
    </row>
    <row r="16" spans="1:13" x14ac:dyDescent="0.45">
      <c r="A16" s="3">
        <f>+A15+1</f>
        <v>9</v>
      </c>
      <c r="B16" s="3" t="s">
        <v>33</v>
      </c>
      <c r="C16" s="3" t="s">
        <v>316</v>
      </c>
      <c r="D16" s="3" t="s">
        <v>334</v>
      </c>
      <c r="E16" s="3" t="s">
        <v>308</v>
      </c>
      <c r="F16" s="3"/>
      <c r="G16" s="3"/>
      <c r="H16" s="3"/>
      <c r="I16" s="4" t="s">
        <v>34</v>
      </c>
      <c r="J16" s="4"/>
      <c r="K16" s="3" t="s">
        <v>14</v>
      </c>
      <c r="L16" s="3"/>
      <c r="M16" s="3"/>
    </row>
    <row r="17" spans="1:13" x14ac:dyDescent="0.45">
      <c r="A17" s="3">
        <f t="shared" si="0"/>
        <v>10</v>
      </c>
      <c r="B17" s="3" t="s">
        <v>35</v>
      </c>
      <c r="C17" s="3" t="s">
        <v>318</v>
      </c>
      <c r="D17" s="3" t="s">
        <v>340</v>
      </c>
      <c r="E17" s="3" t="s">
        <v>36</v>
      </c>
      <c r="F17" s="3"/>
      <c r="G17" s="3"/>
      <c r="H17" s="3"/>
      <c r="I17" s="4" t="s">
        <v>37</v>
      </c>
      <c r="J17" s="4"/>
      <c r="K17" s="3"/>
      <c r="L17" s="3"/>
      <c r="M17" s="3" t="s">
        <v>14</v>
      </c>
    </row>
    <row r="18" spans="1:13" x14ac:dyDescent="0.45">
      <c r="A18" s="3">
        <f t="shared" si="0"/>
        <v>11</v>
      </c>
      <c r="B18" s="3" t="s">
        <v>38</v>
      </c>
      <c r="C18" s="3" t="s">
        <v>317</v>
      </c>
      <c r="D18" s="3" t="s">
        <v>330</v>
      </c>
      <c r="E18" s="3" t="s">
        <v>39</v>
      </c>
      <c r="F18" s="3" t="s">
        <v>14</v>
      </c>
      <c r="G18" s="3"/>
      <c r="H18" s="3"/>
      <c r="I18" s="4" t="s">
        <v>40</v>
      </c>
      <c r="J18" s="4"/>
      <c r="K18" s="3"/>
      <c r="L18" s="3"/>
      <c r="M18" s="3" t="s">
        <v>14</v>
      </c>
    </row>
    <row r="19" spans="1:13" x14ac:dyDescent="0.45">
      <c r="A19" s="3">
        <f t="shared" si="0"/>
        <v>12</v>
      </c>
      <c r="B19" s="3" t="s">
        <v>41</v>
      </c>
      <c r="C19" s="3" t="s">
        <v>320</v>
      </c>
      <c r="D19" s="3" t="s">
        <v>335</v>
      </c>
      <c r="E19" s="3" t="s">
        <v>42</v>
      </c>
      <c r="F19" s="3"/>
      <c r="G19" s="3"/>
      <c r="H19" s="3"/>
      <c r="I19" s="4" t="s">
        <v>43</v>
      </c>
      <c r="J19" s="4"/>
      <c r="K19" s="3" t="s">
        <v>14</v>
      </c>
      <c r="L19" s="3" t="s">
        <v>14</v>
      </c>
      <c r="M19" s="3"/>
    </row>
    <row r="20" spans="1:13" x14ac:dyDescent="0.45">
      <c r="A20" s="3">
        <f t="shared" si="0"/>
        <v>13</v>
      </c>
      <c r="B20" s="3" t="s">
        <v>44</v>
      </c>
      <c r="C20" s="3" t="s">
        <v>321</v>
      </c>
      <c r="D20" s="3" t="s">
        <v>331</v>
      </c>
      <c r="E20" s="3" t="s">
        <v>45</v>
      </c>
      <c r="F20" s="3" t="s">
        <v>14</v>
      </c>
      <c r="G20" s="3"/>
      <c r="H20" s="3"/>
      <c r="I20" s="4" t="s">
        <v>46</v>
      </c>
      <c r="J20" s="4"/>
      <c r="K20" s="3"/>
      <c r="L20" s="3"/>
      <c r="M20" s="3" t="s">
        <v>14</v>
      </c>
    </row>
    <row r="21" spans="1:13" x14ac:dyDescent="0.45">
      <c r="A21" s="3">
        <v>14</v>
      </c>
      <c r="B21" s="3" t="s">
        <v>47</v>
      </c>
      <c r="C21" s="3" t="s">
        <v>322</v>
      </c>
      <c r="D21" s="3" t="s">
        <v>336</v>
      </c>
      <c r="E21" s="3" t="s">
        <v>48</v>
      </c>
      <c r="F21" s="3" t="s">
        <v>14</v>
      </c>
      <c r="G21" s="3"/>
      <c r="H21" s="3"/>
      <c r="I21" s="4" t="s">
        <v>49</v>
      </c>
      <c r="J21" s="4"/>
      <c r="K21" s="3"/>
      <c r="L21" s="3"/>
      <c r="M21" s="3" t="s">
        <v>14</v>
      </c>
    </row>
    <row r="22" spans="1:13" x14ac:dyDescent="0.45">
      <c r="A22" s="3">
        <v>15</v>
      </c>
      <c r="B22" s="3" t="s">
        <v>50</v>
      </c>
      <c r="C22" s="3" t="s">
        <v>323</v>
      </c>
      <c r="D22" s="3" t="s">
        <v>337</v>
      </c>
      <c r="E22" s="3" t="s">
        <v>51</v>
      </c>
      <c r="F22" s="3" t="s">
        <v>14</v>
      </c>
      <c r="G22" s="3"/>
      <c r="H22" s="3"/>
      <c r="I22" s="4" t="s">
        <v>52</v>
      </c>
      <c r="J22" s="4"/>
      <c r="K22" s="3" t="s">
        <v>14</v>
      </c>
      <c r="L22" s="3" t="s">
        <v>14</v>
      </c>
      <c r="M22" s="3"/>
    </row>
    <row r="23" spans="1:13" x14ac:dyDescent="0.45">
      <c r="A23" s="3">
        <f t="shared" si="0"/>
        <v>16</v>
      </c>
      <c r="B23" s="3" t="s">
        <v>53</v>
      </c>
      <c r="C23" s="3" t="s">
        <v>324</v>
      </c>
      <c r="D23" s="3" t="s">
        <v>338</v>
      </c>
      <c r="E23" s="3" t="s">
        <v>54</v>
      </c>
      <c r="F23" s="3" t="s">
        <v>14</v>
      </c>
      <c r="G23" s="3"/>
      <c r="H23" s="3"/>
      <c r="I23" s="4" t="s">
        <v>55</v>
      </c>
      <c r="J23" s="4"/>
      <c r="K23" s="3"/>
      <c r="L23" s="3"/>
      <c r="M23" s="3" t="s">
        <v>14</v>
      </c>
    </row>
    <row r="24" spans="1:13" x14ac:dyDescent="0.45">
      <c r="A24" s="3">
        <f t="shared" si="0"/>
        <v>17</v>
      </c>
      <c r="B24" s="3" t="s">
        <v>56</v>
      </c>
      <c r="C24" s="3" t="s">
        <v>325</v>
      </c>
      <c r="D24" s="3" t="s">
        <v>339</v>
      </c>
      <c r="E24" s="3" t="s">
        <v>57</v>
      </c>
      <c r="F24" s="3"/>
      <c r="G24" s="3"/>
      <c r="H24" s="3"/>
      <c r="I24" s="4" t="s">
        <v>58</v>
      </c>
      <c r="J24" s="4"/>
      <c r="K24" s="3" t="s">
        <v>14</v>
      </c>
      <c r="L24" s="3"/>
      <c r="M24" s="3"/>
    </row>
  </sheetData>
  <hyperlinks>
    <hyperlink ref="I8" r:id="rId1" xr:uid="{01603CF6-F70A-48B0-B659-B501431204EB}"/>
    <hyperlink ref="I9" r:id="rId2" xr:uid="{BD8BD5BC-F0B2-494F-8EBD-02934F4119DD}"/>
    <hyperlink ref="I10" r:id="rId3" xr:uid="{D82FF14B-A0F4-4739-83EF-3235279BC596}"/>
    <hyperlink ref="I12" r:id="rId4" xr:uid="{54A49061-D5A9-4DF6-8E00-725D7B4B973B}"/>
    <hyperlink ref="I14" r:id="rId5" xr:uid="{BD4318EB-D132-4768-A654-555B4545DC77}"/>
    <hyperlink ref="I15" r:id="rId6" xr:uid="{BE05DA52-DC55-429A-80E7-67C62338B508}"/>
    <hyperlink ref="I16" r:id="rId7" xr:uid="{8673CC78-9E2E-4C3B-A224-12BF7820A9EB}"/>
    <hyperlink ref="I17" r:id="rId8" xr:uid="{51CB1607-A1DB-48A2-90AB-86D03F3836E8}"/>
    <hyperlink ref="I18" r:id="rId9" xr:uid="{529E8666-6F60-4C0C-B920-63D469DD1739}"/>
    <hyperlink ref="I19" r:id="rId10" xr:uid="{92C732DD-3F01-4A51-991D-B6833F83909D}"/>
    <hyperlink ref="I20" r:id="rId11" xr:uid="{3DD63FAC-8CDE-4256-A08D-DCC092DDEEE1}"/>
    <hyperlink ref="I21" r:id="rId12" xr:uid="{4EDABE75-52B3-42B6-B88B-32F8D72A4AE1}"/>
    <hyperlink ref="I22" r:id="rId13" xr:uid="{C88631A4-B55C-4DB3-941B-6ABA49E56E4B}"/>
    <hyperlink ref="I23" r:id="rId14" xr:uid="{CF7715E2-CA39-44E7-BC4C-F15EBDEAB8BB}"/>
    <hyperlink ref="I24" r:id="rId15" xr:uid="{83A55735-7DE2-4A91-82B7-70EA6BA16A1A}"/>
  </hyperlinks>
  <pageMargins left="0.7" right="0.7" top="0.75" bottom="0.75" header="0.3" footer="0.3"/>
  <pageSetup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4A99-E759-4DB6-9938-C90B1EE54E90}">
  <sheetPr>
    <pageSetUpPr fitToPage="1"/>
  </sheetPr>
  <dimension ref="B1:P39"/>
  <sheetViews>
    <sheetView showGridLines="0" tabSelected="1" view="pageLayout" zoomScale="70" zoomScaleNormal="100" zoomScaleSheetLayoutView="70" zoomScalePageLayoutView="70" workbookViewId="0">
      <selection activeCell="K1" sqref="K1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/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MIN(Table1347[Fecha])</f>
        <v>0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MAX(Table1347[Fecha])</f>
        <v>0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/>
      <c r="C9" s="24"/>
      <c r="D9" s="24"/>
      <c r="E9" s="24"/>
      <c r="F9" s="66"/>
      <c r="G9" s="65"/>
      <c r="H9" s="25"/>
      <c r="I9" s="25"/>
      <c r="J9" s="25"/>
      <c r="K9" s="25"/>
      <c r="L9" s="25"/>
      <c r="M9" s="25"/>
      <c r="N9" s="25"/>
      <c r="O9" s="25"/>
      <c r="P9" s="26">
        <f>SUM(Table1347[[#This Row],[Valor de la Factura del Cliente]:[Avance]])</f>
        <v>0</v>
      </c>
    </row>
    <row r="10" spans="2:16" s="12" customFormat="1" ht="16.5" customHeight="1" x14ac:dyDescent="0.25">
      <c r="B10" s="47"/>
      <c r="C10" s="27"/>
      <c r="D10" s="27"/>
      <c r="E10" s="27"/>
      <c r="F10" s="27"/>
      <c r="G10" s="65"/>
      <c r="H10" s="28"/>
      <c r="I10" s="28"/>
      <c r="J10" s="28"/>
      <c r="K10" s="28"/>
      <c r="L10" s="28"/>
      <c r="M10" s="28"/>
      <c r="N10" s="28"/>
      <c r="O10" s="28"/>
      <c r="P10" s="26">
        <f>SUM(Table1347[[#This Row],[Valor de la Factura del Cliente]:[Avance]])+P9</f>
        <v>0</v>
      </c>
    </row>
    <row r="11" spans="2:16" s="12" customFormat="1" ht="16.5" customHeight="1" x14ac:dyDescent="0.25">
      <c r="B11" s="47"/>
      <c r="C11" s="27"/>
      <c r="D11" s="27"/>
      <c r="E11" s="27"/>
      <c r="F11" s="27"/>
      <c r="G11" s="65"/>
      <c r="H11" s="28"/>
      <c r="I11" s="28"/>
      <c r="J11" s="28"/>
      <c r="K11" s="28"/>
      <c r="L11" s="28"/>
      <c r="M11" s="28"/>
      <c r="N11" s="28"/>
      <c r="O11" s="28"/>
      <c r="P11" s="26">
        <f>SUM(Table1347[[#This Row],[Valor de la Factura del Cliente]:[Avance]])+P10</f>
        <v>0</v>
      </c>
    </row>
    <row r="12" spans="2:16" s="12" customFormat="1" ht="16.5" customHeight="1" x14ac:dyDescent="0.25">
      <c r="B12" s="47"/>
      <c r="C12" s="27"/>
      <c r="D12" s="27"/>
      <c r="E12" s="27"/>
      <c r="F12" s="27"/>
      <c r="G12" s="65"/>
      <c r="H12" s="28"/>
      <c r="I12" s="28"/>
      <c r="J12" s="28"/>
      <c r="K12" s="28"/>
      <c r="L12" s="28"/>
      <c r="M12" s="28"/>
      <c r="N12" s="28"/>
      <c r="O12" s="28"/>
      <c r="P12" s="26">
        <f>SUM(Table1347[[#This Row],[Valor de la Factura del Cliente]:[Avance]])+P11</f>
        <v>0</v>
      </c>
    </row>
    <row r="13" spans="2:16" s="12" customFormat="1" ht="16.5" customHeight="1" x14ac:dyDescent="0.25">
      <c r="B13" s="47"/>
      <c r="C13" s="27"/>
      <c r="D13" s="27"/>
      <c r="E13" s="27"/>
      <c r="F13" s="27"/>
      <c r="G13" s="65"/>
      <c r="H13" s="28"/>
      <c r="I13" s="28"/>
      <c r="J13" s="28"/>
      <c r="K13" s="28"/>
      <c r="L13" s="28"/>
      <c r="M13" s="28"/>
      <c r="N13" s="28"/>
      <c r="O13" s="28"/>
      <c r="P13" s="26">
        <f>SUM(Table1347[[#This Row],[Valor de la Factura del Cliente]:[Avance]])+P12</f>
        <v>0</v>
      </c>
    </row>
    <row r="14" spans="2:16" s="12" customFormat="1" ht="16.5" customHeight="1" x14ac:dyDescent="0.25">
      <c r="B14" s="47"/>
      <c r="C14" s="27"/>
      <c r="D14" s="27"/>
      <c r="E14" s="27"/>
      <c r="F14" s="27"/>
      <c r="G14" s="65"/>
      <c r="H14" s="28"/>
      <c r="I14" s="28"/>
      <c r="J14" s="28"/>
      <c r="K14" s="28"/>
      <c r="L14" s="28"/>
      <c r="M14" s="28"/>
      <c r="N14" s="28"/>
      <c r="O14" s="28"/>
      <c r="P14" s="26">
        <f>SUM(Table1347[[#This Row],[Valor de la Factura del Cliente]:[Avance]])+P13</f>
        <v>0</v>
      </c>
    </row>
    <row r="15" spans="2:16" s="12" customFormat="1" ht="16.5" customHeight="1" x14ac:dyDescent="0.25">
      <c r="B15" s="47"/>
      <c r="C15" s="27"/>
      <c r="D15" s="27"/>
      <c r="E15" s="27"/>
      <c r="F15" s="27"/>
      <c r="G15" s="65"/>
      <c r="H15" s="28"/>
      <c r="I15" s="28"/>
      <c r="J15" s="28"/>
      <c r="K15" s="28"/>
      <c r="L15" s="28"/>
      <c r="M15" s="28"/>
      <c r="N15" s="28"/>
      <c r="O15" s="28"/>
      <c r="P15" s="26">
        <f>SUM(Table1347[[#This Row],[Valor de la Factura del Cliente]:[Avance]])+P14</f>
        <v>0</v>
      </c>
    </row>
    <row r="16" spans="2:16" s="12" customFormat="1" ht="16.5" customHeight="1" x14ac:dyDescent="0.25">
      <c r="B16" s="47"/>
      <c r="C16" s="27"/>
      <c r="D16" s="27"/>
      <c r="E16" s="27"/>
      <c r="F16" s="27"/>
      <c r="G16" s="65"/>
      <c r="H16" s="28"/>
      <c r="I16" s="28"/>
      <c r="J16" s="28"/>
      <c r="K16" s="28"/>
      <c r="L16" s="28"/>
      <c r="M16" s="28"/>
      <c r="N16" s="28"/>
      <c r="O16" s="28"/>
      <c r="P16" s="26">
        <f>SUM(Table1347[[#This Row],[Valor de la Factura del Cliente]:[Avance]])+P15</f>
        <v>0</v>
      </c>
    </row>
    <row r="17" spans="2:16" s="12" customFormat="1" ht="16.5" customHeight="1" x14ac:dyDescent="0.25">
      <c r="B17" s="47"/>
      <c r="C17" s="27"/>
      <c r="D17" s="27"/>
      <c r="E17" s="27"/>
      <c r="F17" s="27"/>
      <c r="G17" s="65"/>
      <c r="H17" s="28"/>
      <c r="I17" s="28"/>
      <c r="J17" s="28"/>
      <c r="K17" s="28"/>
      <c r="L17" s="28"/>
      <c r="M17" s="28"/>
      <c r="N17" s="28"/>
      <c r="O17" s="28"/>
      <c r="P17" s="26">
        <f>SUM(Table1347[[#This Row],[Valor de la Factura del Cliente]:[Avance]])+P16</f>
        <v>0</v>
      </c>
    </row>
    <row r="18" spans="2:16" s="12" customFormat="1" ht="16.5" customHeight="1" x14ac:dyDescent="0.25">
      <c r="B18" s="47"/>
      <c r="C18" s="27"/>
      <c r="D18" s="27"/>
      <c r="E18" s="27"/>
      <c r="F18" s="27"/>
      <c r="G18" s="65"/>
      <c r="H18" s="28"/>
      <c r="I18" s="28"/>
      <c r="J18" s="28"/>
      <c r="K18" s="28"/>
      <c r="L18" s="28"/>
      <c r="M18" s="28"/>
      <c r="N18" s="28"/>
      <c r="O18" s="28"/>
      <c r="P18" s="26">
        <f>SUM(Table1347[[#This Row],[Valor de la Factura del Cliente]:[Avance]])+P17</f>
        <v>0</v>
      </c>
    </row>
    <row r="19" spans="2:16" s="12" customFormat="1" ht="16.5" customHeight="1" x14ac:dyDescent="0.25">
      <c r="B19" s="47"/>
      <c r="C19" s="27"/>
      <c r="D19" s="27"/>
      <c r="E19" s="27"/>
      <c r="F19" s="27"/>
      <c r="G19" s="65"/>
      <c r="H19" s="28"/>
      <c r="I19" s="28"/>
      <c r="J19" s="28"/>
      <c r="K19" s="28"/>
      <c r="L19" s="28"/>
      <c r="M19" s="28"/>
      <c r="N19" s="28"/>
      <c r="O19" s="28"/>
      <c r="P19" s="26">
        <f>SUM(Table1347[[#This Row],[Valor de la Factura del Cliente]:[Avance]])+P18</f>
        <v>0</v>
      </c>
    </row>
    <row r="20" spans="2:16" s="12" customFormat="1" ht="16.5" customHeight="1" x14ac:dyDescent="0.25">
      <c r="B20" s="47"/>
      <c r="C20" s="27"/>
      <c r="D20" s="27"/>
      <c r="E20" s="27"/>
      <c r="F20" s="27"/>
      <c r="G20" s="65"/>
      <c r="H20" s="28"/>
      <c r="I20" s="28"/>
      <c r="J20" s="28"/>
      <c r="K20" s="28"/>
      <c r="L20" s="28"/>
      <c r="M20" s="28"/>
      <c r="N20" s="28"/>
      <c r="O20" s="28"/>
      <c r="P20" s="26">
        <f>SUM(Table1347[[#This Row],[Valor de la Factura del Cliente]:[Avance]])+P19</f>
        <v>0</v>
      </c>
    </row>
    <row r="21" spans="2:16" s="12" customFormat="1" ht="16.5" customHeight="1" x14ac:dyDescent="0.25">
      <c r="B21" s="47"/>
      <c r="C21" s="27"/>
      <c r="D21" s="27"/>
      <c r="E21" s="27"/>
      <c r="F21" s="27"/>
      <c r="G21" s="65"/>
      <c r="H21" s="28"/>
      <c r="I21" s="28"/>
      <c r="J21" s="28"/>
      <c r="K21" s="28"/>
      <c r="L21" s="28"/>
      <c r="M21" s="28"/>
      <c r="N21" s="28"/>
      <c r="O21" s="28"/>
      <c r="P21" s="26">
        <f>SUM(Table1347[[#This Row],[Valor de la Factura del Cliente]:[Avance]])+P20</f>
        <v>0</v>
      </c>
    </row>
    <row r="22" spans="2:16" s="12" customFormat="1" ht="16.5" customHeight="1" x14ac:dyDescent="0.25">
      <c r="B22" s="47"/>
      <c r="C22" s="27"/>
      <c r="D22" s="27"/>
      <c r="E22" s="27"/>
      <c r="F22" s="27"/>
      <c r="G22" s="65"/>
      <c r="H22" s="28"/>
      <c r="I22" s="28"/>
      <c r="J22" s="28"/>
      <c r="K22" s="28"/>
      <c r="L22" s="28"/>
      <c r="M22" s="28"/>
      <c r="N22" s="28"/>
      <c r="O22" s="28"/>
      <c r="P22" s="26">
        <f>SUM(Table1347[[#This Row],[Valor de la Factura del Cliente]:[Avance]])+P21</f>
        <v>0</v>
      </c>
    </row>
    <row r="23" spans="2:16" s="12" customFormat="1" ht="16.5" customHeight="1" x14ac:dyDescent="0.25">
      <c r="B23" s="47"/>
      <c r="C23" s="27"/>
      <c r="D23" s="27"/>
      <c r="E23" s="27"/>
      <c r="F23" s="27"/>
      <c r="G23" s="65"/>
      <c r="H23" s="28"/>
      <c r="I23" s="28"/>
      <c r="J23" s="28"/>
      <c r="K23" s="28"/>
      <c r="L23" s="28"/>
      <c r="M23" s="28"/>
      <c r="N23" s="28"/>
      <c r="O23" s="28"/>
      <c r="P23" s="26">
        <f>SUM(Table1347[[#This Row],[Valor de la Factura del Cliente]:[Avance]])+P22</f>
        <v>0</v>
      </c>
    </row>
    <row r="24" spans="2:16" s="12" customFormat="1" ht="16.5" customHeight="1" x14ac:dyDescent="0.25">
      <c r="B24" s="47"/>
      <c r="C24" s="27"/>
      <c r="D24" s="27"/>
      <c r="E24" s="27"/>
      <c r="F24" s="27"/>
      <c r="G24" s="65"/>
      <c r="H24" s="28"/>
      <c r="I24" s="28"/>
      <c r="J24" s="28"/>
      <c r="K24" s="28"/>
      <c r="L24" s="28"/>
      <c r="M24" s="28"/>
      <c r="N24" s="28"/>
      <c r="O24" s="28"/>
      <c r="P24" s="26">
        <f>SUM(Table1347[[#This Row],[Valor de la Factura del Cliente]:[Avance]])+P23</f>
        <v>0</v>
      </c>
    </row>
    <row r="25" spans="2:16" s="12" customFormat="1" ht="16.5" customHeight="1" x14ac:dyDescent="0.25">
      <c r="B25" s="47"/>
      <c r="C25" s="27"/>
      <c r="D25" s="27"/>
      <c r="E25" s="27"/>
      <c r="F25" s="27"/>
      <c r="G25" s="65"/>
      <c r="H25" s="28"/>
      <c r="I25" s="28"/>
      <c r="J25" s="28"/>
      <c r="K25" s="28"/>
      <c r="L25" s="28"/>
      <c r="M25" s="28"/>
      <c r="N25" s="28"/>
      <c r="O25" s="28"/>
      <c r="P25" s="26">
        <f>SUM(Table1347[[#This Row],[Valor de la Factura del Cliente]:[Avance]])+P24</f>
        <v>0</v>
      </c>
    </row>
    <row r="26" spans="2:16" s="12" customFormat="1" ht="16.5" customHeight="1" x14ac:dyDescent="0.25">
      <c r="B26" s="47"/>
      <c r="C26" s="27"/>
      <c r="D26" s="27"/>
      <c r="E26" s="27"/>
      <c r="F26" s="27"/>
      <c r="G26" s="65"/>
      <c r="H26" s="28"/>
      <c r="I26" s="28"/>
      <c r="J26" s="28"/>
      <c r="K26" s="28"/>
      <c r="L26" s="28"/>
      <c r="M26" s="28"/>
      <c r="N26" s="28"/>
      <c r="O26" s="28"/>
      <c r="P26" s="26">
        <f>SUM(Table1347[[#This Row],[Valor de la Factura del Cliente]:[Avance]])+P25</f>
        <v>0</v>
      </c>
    </row>
    <row r="27" spans="2:16" s="12" customFormat="1" ht="16.5" customHeight="1" x14ac:dyDescent="0.25">
      <c r="B27" s="47"/>
      <c r="C27" s="27"/>
      <c r="D27" s="27"/>
      <c r="E27" s="27"/>
      <c r="F27" s="27"/>
      <c r="G27" s="65"/>
      <c r="H27" s="28"/>
      <c r="I27" s="28"/>
      <c r="J27" s="28"/>
      <c r="K27" s="28"/>
      <c r="L27" s="28"/>
      <c r="M27" s="28"/>
      <c r="N27" s="28"/>
      <c r="O27" s="28"/>
      <c r="P27" s="26">
        <f>SUM(Table1347[[#This Row],[Valor de la Factura del Cliente]:[Avance]])+P26</f>
        <v>0</v>
      </c>
    </row>
    <row r="28" spans="2:16" s="12" customFormat="1" ht="16.5" customHeight="1" x14ac:dyDescent="0.25">
      <c r="B28" s="47"/>
      <c r="C28" s="27"/>
      <c r="D28" s="27"/>
      <c r="E28" s="27"/>
      <c r="F28" s="27"/>
      <c r="G28" s="65"/>
      <c r="H28" s="28"/>
      <c r="I28" s="28"/>
      <c r="J28" s="28"/>
      <c r="K28" s="28"/>
      <c r="L28" s="28"/>
      <c r="M28" s="28"/>
      <c r="N28" s="28"/>
      <c r="O28" s="28"/>
      <c r="P28" s="26">
        <f>SUM(Table1347[[#This Row],[Valor de la Factura del Cliente]:[Avance]])+P27</f>
        <v>0</v>
      </c>
    </row>
    <row r="29" spans="2:16" s="12" customFormat="1" ht="16.5" customHeight="1" x14ac:dyDescent="0.25">
      <c r="B29" s="47"/>
      <c r="C29" s="27"/>
      <c r="D29" s="27"/>
      <c r="E29" s="27"/>
      <c r="F29" s="27"/>
      <c r="G29" s="65"/>
      <c r="H29" s="28"/>
      <c r="I29" s="28"/>
      <c r="J29" s="28"/>
      <c r="K29" s="28"/>
      <c r="L29" s="28"/>
      <c r="M29" s="28"/>
      <c r="N29" s="28"/>
      <c r="O29" s="28"/>
      <c r="P29" s="26">
        <f>SUM(Table1347[[#This Row],[Valor de la Factura del Cliente]:[Avance]])+P28</f>
        <v>0</v>
      </c>
    </row>
    <row r="30" spans="2:16" s="12" customFormat="1" ht="16.5" customHeight="1" x14ac:dyDescent="0.25">
      <c r="B30" s="47"/>
      <c r="C30" s="27"/>
      <c r="D30" s="27"/>
      <c r="E30" s="27"/>
      <c r="F30" s="27"/>
      <c r="G30" s="65"/>
      <c r="H30" s="28"/>
      <c r="I30" s="28"/>
      <c r="J30" s="28"/>
      <c r="K30" s="28"/>
      <c r="L30" s="28"/>
      <c r="M30" s="28"/>
      <c r="N30" s="28"/>
      <c r="O30" s="28"/>
      <c r="P30" s="26">
        <f>SUM(Table1347[[#This Row],[Valor de la Factura del Cliente]:[Avance]])+P29</f>
        <v>0</v>
      </c>
    </row>
    <row r="31" spans="2:16" s="12" customFormat="1" ht="16.5" customHeight="1" x14ac:dyDescent="0.25">
      <c r="B31" s="47"/>
      <c r="C31" s="27"/>
      <c r="D31" s="27"/>
      <c r="E31" s="27"/>
      <c r="F31" s="27"/>
      <c r="G31" s="65"/>
      <c r="H31" s="28"/>
      <c r="I31" s="28"/>
      <c r="J31" s="28"/>
      <c r="K31" s="28"/>
      <c r="L31" s="28"/>
      <c r="M31" s="28"/>
      <c r="N31" s="28"/>
      <c r="O31" s="28"/>
      <c r="P31" s="26">
        <f>SUM(Table1347[[#This Row],[Valor de la Factura del Cliente]:[Avance]])+P30</f>
        <v>0</v>
      </c>
    </row>
    <row r="32" spans="2:16" s="12" customFormat="1" ht="16.5" customHeight="1" x14ac:dyDescent="0.25">
      <c r="B32" s="47"/>
      <c r="C32" s="27"/>
      <c r="D32" s="27"/>
      <c r="E32" s="27"/>
      <c r="F32" s="27"/>
      <c r="G32" s="65"/>
      <c r="H32" s="28"/>
      <c r="I32" s="28"/>
      <c r="J32" s="28"/>
      <c r="K32" s="28"/>
      <c r="L32" s="28"/>
      <c r="M32" s="28"/>
      <c r="N32" s="28"/>
      <c r="O32" s="28"/>
      <c r="P32" s="26">
        <f>SUM(Table1347[[#This Row],[Valor de la Factura del Cliente]:[Avance]])+P31</f>
        <v>0</v>
      </c>
    </row>
    <row r="33" spans="2:16" s="12" customFormat="1" ht="16.5" customHeight="1" x14ac:dyDescent="0.25">
      <c r="B33" s="47"/>
      <c r="C33" s="27"/>
      <c r="D33" s="27"/>
      <c r="E33" s="27"/>
      <c r="F33" s="27"/>
      <c r="G33" s="65"/>
      <c r="H33" s="28"/>
      <c r="I33" s="28"/>
      <c r="J33" s="28"/>
      <c r="K33" s="28"/>
      <c r="L33" s="28"/>
      <c r="M33" s="28"/>
      <c r="N33" s="28"/>
      <c r="O33" s="28"/>
      <c r="P33" s="26">
        <f>SUM(Table1347[[#This Row],[Valor de la Factura del Cliente]:[Avance]])+P32</f>
        <v>0</v>
      </c>
    </row>
    <row r="34" spans="2:16" s="12" customFormat="1" ht="16.5" customHeight="1" x14ac:dyDescent="0.25">
      <c r="B34" s="47"/>
      <c r="C34" s="27"/>
      <c r="D34" s="27"/>
      <c r="E34" s="27"/>
      <c r="F34" s="27"/>
      <c r="G34" s="65"/>
      <c r="H34" s="28"/>
      <c r="I34" s="28"/>
      <c r="J34" s="28"/>
      <c r="K34" s="28"/>
      <c r="L34" s="28"/>
      <c r="M34" s="28"/>
      <c r="N34" s="28"/>
      <c r="O34" s="28"/>
      <c r="P34" s="26">
        <f>SUM(Table1347[[#This Row],[Valor de la Factura del Cliente]:[Avance]])+P33</f>
        <v>0</v>
      </c>
    </row>
    <row r="35" spans="2:16" s="12" customFormat="1" ht="16.5" customHeight="1" x14ac:dyDescent="0.25">
      <c r="B35" s="47"/>
      <c r="C35" s="27"/>
      <c r="D35" s="27"/>
      <c r="E35" s="27"/>
      <c r="F35" s="27"/>
      <c r="G35" s="65"/>
      <c r="H35" s="28"/>
      <c r="I35" s="28"/>
      <c r="J35" s="28"/>
      <c r="K35" s="28"/>
      <c r="L35" s="28"/>
      <c r="M35" s="28"/>
      <c r="N35" s="28"/>
      <c r="O35" s="28"/>
      <c r="P35" s="26">
        <f>SUM(Table1347[[#This Row],[Valor de la Factura del Cliente]:[Avance]])+P34</f>
        <v>0</v>
      </c>
    </row>
    <row r="36" spans="2:16" s="12" customFormat="1" ht="16.5" customHeight="1" x14ac:dyDescent="0.25">
      <c r="B36" s="47"/>
      <c r="C36" s="27"/>
      <c r="D36" s="27"/>
      <c r="E36" s="27"/>
      <c r="F36" s="27"/>
      <c r="G36" s="65"/>
      <c r="H36" s="28"/>
      <c r="I36" s="28"/>
      <c r="J36" s="28"/>
      <c r="K36" s="28"/>
      <c r="L36" s="28"/>
      <c r="M36" s="28"/>
      <c r="N36" s="28"/>
      <c r="O36" s="28"/>
      <c r="P36" s="26">
        <f>SUM(Table1347[[#This Row],[Valor de la Factura del Cliente]:[Avance]])+P35</f>
        <v>0</v>
      </c>
    </row>
    <row r="37" spans="2:16" s="12" customFormat="1" ht="16.5" customHeight="1" x14ac:dyDescent="0.25">
      <c r="B37" s="47"/>
      <c r="C37" s="27"/>
      <c r="D37" s="27"/>
      <c r="E37" s="27"/>
      <c r="F37" s="27"/>
      <c r="G37" s="65"/>
      <c r="H37" s="28"/>
      <c r="I37" s="28"/>
      <c r="J37" s="28"/>
      <c r="K37" s="28"/>
      <c r="L37" s="28"/>
      <c r="M37" s="28"/>
      <c r="N37" s="28"/>
      <c r="O37" s="28"/>
      <c r="P37" s="26">
        <f>SUM(Table1347[[#This Row],[Valor de la Factura del Cliente]:[Avance]])+P36</f>
        <v>0</v>
      </c>
    </row>
    <row r="38" spans="2:16" s="12" customFormat="1" ht="16.5" customHeight="1" thickBot="1" x14ac:dyDescent="0.3">
      <c r="B38" s="47"/>
      <c r="C38" s="27"/>
      <c r="D38" s="27"/>
      <c r="E38" s="27"/>
      <c r="F38" s="27"/>
      <c r="G38" s="65"/>
      <c r="H38" s="28"/>
      <c r="I38" s="28"/>
      <c r="J38" s="28"/>
      <c r="K38" s="28"/>
      <c r="L38" s="28"/>
      <c r="M38" s="28"/>
      <c r="N38" s="28"/>
      <c r="O38" s="28"/>
      <c r="P38" s="26">
        <f>SUM(Table1347[[#This Row],[Valor de la Factura del Cliente]:[Avance]])+P37</f>
        <v>0</v>
      </c>
    </row>
    <row r="39" spans="2:16" ht="16.5" customHeight="1" thickBot="1" x14ac:dyDescent="0.5">
      <c r="B39" s="22"/>
      <c r="C39" s="23"/>
      <c r="D39" s="23"/>
      <c r="E39" s="23"/>
      <c r="F39" s="23"/>
      <c r="G39" s="34" t="s">
        <v>356</v>
      </c>
      <c r="H39" s="35">
        <f>SUBTOTAL(109,Table1347[Valor de la Factura del Cliente])</f>
        <v>0</v>
      </c>
      <c r="I39" s="35">
        <f>SUBTOTAL(109,Table1347[Cargos Bancarios])</f>
        <v>0</v>
      </c>
      <c r="J39" s="35"/>
      <c r="K39" s="35">
        <f>SUBTOTAL(109,Table1347[20% Comisión])</f>
        <v>0</v>
      </c>
      <c r="L39" s="35">
        <f>SUBTOTAL(109,Table1347[5% Legal])</f>
        <v>0</v>
      </c>
      <c r="M39" s="35">
        <f>SUBTOTAL(109,Table1347[Retención de Impuestos])</f>
        <v>0</v>
      </c>
      <c r="N39" s="35">
        <f>SUBTOTAL(109,Table1347[Pagado por MVPX])</f>
        <v>0</v>
      </c>
      <c r="O39" s="35">
        <f>SUBTOTAL(109,Table1347[Avance])</f>
        <v>0</v>
      </c>
      <c r="P39" s="36">
        <f>+P38</f>
        <v>0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7906-9D69-4AE7-90DC-7E1834FEB346}">
  <sheetPr>
    <pageSetUpPr fitToPage="1"/>
  </sheetPr>
  <dimension ref="B1:P80"/>
  <sheetViews>
    <sheetView showGridLines="0" view="pageLayout" topLeftCell="A60" zoomScale="70" zoomScaleNormal="100" zoomScaleSheetLayoutView="70" zoomScalePageLayoutView="70" workbookViewId="0">
      <selection activeCell="P81" sqref="P81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926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MIN(Table134732[Fecha])</f>
        <v>45064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MAX(Table134732[Fecha])</f>
        <v>45847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 t="s">
        <v>927</v>
      </c>
      <c r="C9" s="24"/>
      <c r="D9" s="24"/>
      <c r="E9" s="24"/>
      <c r="F9" s="66"/>
      <c r="G9" s="65" t="s">
        <v>928</v>
      </c>
      <c r="H9" s="25">
        <v>23182</v>
      </c>
      <c r="I9" s="25"/>
      <c r="J9" s="25"/>
      <c r="K9" s="25"/>
      <c r="L9" s="25"/>
      <c r="M9" s="25"/>
      <c r="N9" s="25">
        <v>0</v>
      </c>
      <c r="O9" s="25"/>
      <c r="P9" s="26">
        <f>SUM(Table134732[[#This Row],[Valor de la Factura del Cliente]:[Avance]])</f>
        <v>23182</v>
      </c>
    </row>
    <row r="10" spans="2:16" s="12" customFormat="1" ht="16.5" customHeight="1" x14ac:dyDescent="0.25">
      <c r="B10" s="47">
        <v>45064</v>
      </c>
      <c r="C10" s="27"/>
      <c r="D10" s="27"/>
      <c r="E10" s="27"/>
      <c r="F10" s="27"/>
      <c r="G10" s="65" t="s">
        <v>929</v>
      </c>
      <c r="H10" s="28"/>
      <c r="I10" s="28"/>
      <c r="J10" s="28"/>
      <c r="K10" s="28"/>
      <c r="L10" s="28"/>
      <c r="M10" s="28"/>
      <c r="N10" s="28">
        <v>-333</v>
      </c>
      <c r="O10" s="28"/>
      <c r="P10" s="26">
        <f>SUM(Table134732[[#This Row],[Valor de la Factura del Cliente]:[Avance]])+P9</f>
        <v>22849</v>
      </c>
    </row>
    <row r="11" spans="2:16" s="12" customFormat="1" ht="16.5" customHeight="1" x14ac:dyDescent="0.25">
      <c r="B11" s="47">
        <v>45127</v>
      </c>
      <c r="C11" s="27"/>
      <c r="D11" s="27"/>
      <c r="E11" s="27"/>
      <c r="F11" s="27"/>
      <c r="G11" s="65" t="s">
        <v>295</v>
      </c>
      <c r="H11" s="28"/>
      <c r="I11" s="28"/>
      <c r="J11" s="28"/>
      <c r="K11" s="28"/>
      <c r="L11" s="28"/>
      <c r="M11" s="28"/>
      <c r="N11" s="28">
        <v>-262.5</v>
      </c>
      <c r="O11" s="28"/>
      <c r="P11" s="26">
        <f>SUM(Table134732[[#This Row],[Valor de la Factura del Cliente]:[Avance]])+P10</f>
        <v>22586.5</v>
      </c>
    </row>
    <row r="12" spans="2:16" s="12" customFormat="1" ht="16.5" customHeight="1" x14ac:dyDescent="0.25">
      <c r="B12" s="47">
        <v>45128</v>
      </c>
      <c r="C12" s="27"/>
      <c r="D12" s="27"/>
      <c r="E12" s="27"/>
      <c r="F12" s="27"/>
      <c r="G12" s="65" t="s">
        <v>295</v>
      </c>
      <c r="H12" s="28"/>
      <c r="I12" s="28"/>
      <c r="J12" s="28"/>
      <c r="K12" s="28"/>
      <c r="L12" s="28"/>
      <c r="M12" s="28"/>
      <c r="N12" s="28">
        <v>-700</v>
      </c>
      <c r="O12" s="28"/>
      <c r="P12" s="26">
        <f>SUM(Table134732[[#This Row],[Valor de la Factura del Cliente]:[Avance]])+P11</f>
        <v>21886.5</v>
      </c>
    </row>
    <row r="13" spans="2:16" s="12" customFormat="1" ht="16.5" customHeight="1" x14ac:dyDescent="0.25">
      <c r="B13" s="47">
        <v>45166</v>
      </c>
      <c r="C13" s="27"/>
      <c r="D13" s="27"/>
      <c r="E13" s="27"/>
      <c r="F13" s="27"/>
      <c r="G13" s="65" t="s">
        <v>295</v>
      </c>
      <c r="H13" s="28"/>
      <c r="I13" s="28"/>
      <c r="J13" s="28"/>
      <c r="K13" s="28"/>
      <c r="L13" s="28"/>
      <c r="M13" s="28"/>
      <c r="N13" s="28">
        <v>-212.5</v>
      </c>
      <c r="O13" s="28"/>
      <c r="P13" s="26">
        <f>SUM(Table134732[[#This Row],[Valor de la Factura del Cliente]:[Avance]])+P12</f>
        <v>21674</v>
      </c>
    </row>
    <row r="14" spans="2:16" s="12" customFormat="1" ht="16.5" customHeight="1" x14ac:dyDescent="0.25">
      <c r="B14" s="47">
        <v>45170</v>
      </c>
      <c r="C14" s="27"/>
      <c r="D14" s="27"/>
      <c r="E14" s="27"/>
      <c r="F14" s="27"/>
      <c r="G14" s="65" t="s">
        <v>295</v>
      </c>
      <c r="H14" s="28"/>
      <c r="I14" s="28"/>
      <c r="J14" s="28"/>
      <c r="K14" s="28"/>
      <c r="L14" s="28"/>
      <c r="M14" s="28"/>
      <c r="N14" s="28">
        <v>-230</v>
      </c>
      <c r="O14" s="28"/>
      <c r="P14" s="26">
        <f>SUM(Table134732[[#This Row],[Valor de la Factura del Cliente]:[Avance]])+P13</f>
        <v>21444</v>
      </c>
    </row>
    <row r="15" spans="2:16" s="12" customFormat="1" ht="16.5" customHeight="1" x14ac:dyDescent="0.25">
      <c r="B15" s="47">
        <v>45180</v>
      </c>
      <c r="C15" s="27"/>
      <c r="D15" s="27"/>
      <c r="E15" s="27"/>
      <c r="F15" s="27"/>
      <c r="G15" s="65" t="s">
        <v>295</v>
      </c>
      <c r="H15" s="28"/>
      <c r="I15" s="28"/>
      <c r="J15" s="28"/>
      <c r="K15" s="28"/>
      <c r="L15" s="28"/>
      <c r="M15" s="28"/>
      <c r="N15" s="28">
        <v>-200</v>
      </c>
      <c r="O15" s="28"/>
      <c r="P15" s="26">
        <f>SUM(Table134732[[#This Row],[Valor de la Factura del Cliente]:[Avance]])+P14</f>
        <v>21244</v>
      </c>
    </row>
    <row r="16" spans="2:16" s="12" customFormat="1" ht="16.5" customHeight="1" x14ac:dyDescent="0.25">
      <c r="B16" s="47">
        <v>45187</v>
      </c>
      <c r="C16" s="27"/>
      <c r="D16" s="27"/>
      <c r="E16" s="27"/>
      <c r="F16" s="27"/>
      <c r="G16" s="65" t="s">
        <v>295</v>
      </c>
      <c r="H16" s="28"/>
      <c r="I16" s="28"/>
      <c r="J16" s="28"/>
      <c r="K16" s="28"/>
      <c r="L16" s="28"/>
      <c r="M16" s="28"/>
      <c r="N16" s="28">
        <v>-100</v>
      </c>
      <c r="O16" s="28"/>
      <c r="P16" s="26">
        <f>SUM(Table134732[[#This Row],[Valor de la Factura del Cliente]:[Avance]])+P15</f>
        <v>21144</v>
      </c>
    </row>
    <row r="17" spans="2:16" s="12" customFormat="1" ht="16.5" customHeight="1" x14ac:dyDescent="0.25">
      <c r="B17" s="47">
        <v>45209</v>
      </c>
      <c r="C17" s="27"/>
      <c r="D17" s="27"/>
      <c r="E17" s="27"/>
      <c r="F17" s="27"/>
      <c r="G17" s="65" t="s">
        <v>295</v>
      </c>
      <c r="H17" s="28"/>
      <c r="I17" s="28"/>
      <c r="J17" s="28"/>
      <c r="K17" s="28"/>
      <c r="L17" s="28"/>
      <c r="M17" s="28"/>
      <c r="N17" s="28">
        <v>-200</v>
      </c>
      <c r="O17" s="28"/>
      <c r="P17" s="26">
        <f>SUM(Table134732[[#This Row],[Valor de la Factura del Cliente]:[Avance]])+P16</f>
        <v>20944</v>
      </c>
    </row>
    <row r="18" spans="2:16" s="12" customFormat="1" ht="16.5" customHeight="1" x14ac:dyDescent="0.25">
      <c r="B18" s="47">
        <v>45209</v>
      </c>
      <c r="C18" s="27"/>
      <c r="D18" s="27"/>
      <c r="E18" s="27"/>
      <c r="F18" s="27"/>
      <c r="G18" s="65" t="s">
        <v>295</v>
      </c>
      <c r="H18" s="28"/>
      <c r="I18" s="28"/>
      <c r="J18" s="28"/>
      <c r="K18" s="28"/>
      <c r="L18" s="28"/>
      <c r="M18" s="28"/>
      <c r="N18" s="28">
        <v>-100</v>
      </c>
      <c r="O18" s="28"/>
      <c r="P18" s="26">
        <f>SUM(Table134732[[#This Row],[Valor de la Factura del Cliente]:[Avance]])+P17</f>
        <v>20844</v>
      </c>
    </row>
    <row r="19" spans="2:16" s="12" customFormat="1" ht="16.5" customHeight="1" x14ac:dyDescent="0.25">
      <c r="B19" s="47">
        <v>45209</v>
      </c>
      <c r="C19" s="27"/>
      <c r="D19" s="27"/>
      <c r="E19" s="27"/>
      <c r="F19" s="27"/>
      <c r="G19" s="65" t="s">
        <v>930</v>
      </c>
      <c r="H19" s="28"/>
      <c r="I19" s="28"/>
      <c r="J19" s="28"/>
      <c r="K19" s="28"/>
      <c r="L19" s="28"/>
      <c r="M19" s="28"/>
      <c r="N19" s="28">
        <v>-2000</v>
      </c>
      <c r="O19" s="28"/>
      <c r="P19" s="26">
        <f>SUM(Table134732[[#This Row],[Valor de la Factura del Cliente]:[Avance]])+P18</f>
        <v>18844</v>
      </c>
    </row>
    <row r="20" spans="2:16" s="12" customFormat="1" ht="16.5" customHeight="1" x14ac:dyDescent="0.25">
      <c r="B20" s="47">
        <v>45210</v>
      </c>
      <c r="C20" s="27"/>
      <c r="D20" s="27"/>
      <c r="E20" s="27"/>
      <c r="F20" s="27"/>
      <c r="G20" s="65" t="s">
        <v>931</v>
      </c>
      <c r="H20" s="28"/>
      <c r="I20" s="28"/>
      <c r="J20" s="28"/>
      <c r="K20" s="28"/>
      <c r="L20" s="28"/>
      <c r="M20" s="28"/>
      <c r="N20" s="28">
        <v>-2000</v>
      </c>
      <c r="O20" s="28"/>
      <c r="P20" s="26">
        <f>SUM(Table134732[[#This Row],[Valor de la Factura del Cliente]:[Avance]])+P19</f>
        <v>16844</v>
      </c>
    </row>
    <row r="21" spans="2:16" s="12" customFormat="1" ht="16.5" customHeight="1" x14ac:dyDescent="0.25">
      <c r="B21" s="47">
        <v>45224</v>
      </c>
      <c r="C21" s="27"/>
      <c r="D21" s="27"/>
      <c r="E21" s="27"/>
      <c r="F21" s="27"/>
      <c r="G21" s="65" t="s">
        <v>932</v>
      </c>
      <c r="H21" s="28"/>
      <c r="I21" s="28"/>
      <c r="J21" s="28"/>
      <c r="K21" s="28"/>
      <c r="L21" s="28"/>
      <c r="M21" s="28"/>
      <c r="N21" s="28">
        <v>-3500</v>
      </c>
      <c r="O21" s="28"/>
      <c r="P21" s="26">
        <f>SUM(Table134732[[#This Row],[Valor de la Factura del Cliente]:[Avance]])+P20</f>
        <v>13344</v>
      </c>
    </row>
    <row r="22" spans="2:16" s="12" customFormat="1" ht="16.5" customHeight="1" x14ac:dyDescent="0.25">
      <c r="B22" s="47">
        <v>45224</v>
      </c>
      <c r="C22" s="27"/>
      <c r="D22" s="27"/>
      <c r="E22" s="27"/>
      <c r="F22" s="27"/>
      <c r="G22" s="65" t="s">
        <v>932</v>
      </c>
      <c r="H22" s="28"/>
      <c r="I22" s="28"/>
      <c r="J22" s="28"/>
      <c r="K22" s="28"/>
      <c r="L22" s="28"/>
      <c r="M22" s="28"/>
      <c r="N22" s="28">
        <v>-3500</v>
      </c>
      <c r="O22" s="28"/>
      <c r="P22" s="26">
        <f>SUM(Table134732[[#This Row],[Valor de la Factura del Cliente]:[Avance]])+P21</f>
        <v>9844</v>
      </c>
    </row>
    <row r="23" spans="2:16" s="12" customFormat="1" ht="16.5" customHeight="1" x14ac:dyDescent="0.25">
      <c r="B23" s="47">
        <v>45224</v>
      </c>
      <c r="C23" s="27"/>
      <c r="D23" s="27"/>
      <c r="E23" s="27"/>
      <c r="F23" s="27"/>
      <c r="G23" s="65" t="s">
        <v>933</v>
      </c>
      <c r="H23" s="28"/>
      <c r="I23" s="28"/>
      <c r="J23" s="28"/>
      <c r="K23" s="28"/>
      <c r="L23" s="28"/>
      <c r="M23" s="28"/>
      <c r="N23" s="28">
        <v>-7000</v>
      </c>
      <c r="O23" s="28"/>
      <c r="P23" s="26">
        <f>SUM(Table134732[[#This Row],[Valor de la Factura del Cliente]:[Avance]])+P22</f>
        <v>2844</v>
      </c>
    </row>
    <row r="24" spans="2:16" s="12" customFormat="1" ht="16.5" customHeight="1" x14ac:dyDescent="0.25">
      <c r="B24" s="47">
        <v>45225</v>
      </c>
      <c r="C24" s="27"/>
      <c r="D24" s="27"/>
      <c r="E24" s="27"/>
      <c r="F24" s="27"/>
      <c r="G24" s="65" t="s">
        <v>934</v>
      </c>
      <c r="H24" s="28"/>
      <c r="I24" s="28"/>
      <c r="J24" s="28"/>
      <c r="K24" s="28"/>
      <c r="L24" s="28"/>
      <c r="M24" s="28"/>
      <c r="N24" s="28">
        <v>-3000</v>
      </c>
      <c r="O24" s="28"/>
      <c r="P24" s="26">
        <f>SUM(Table134732[[#This Row],[Valor de la Factura del Cliente]:[Avance]])+P23</f>
        <v>-156</v>
      </c>
    </row>
    <row r="25" spans="2:16" s="12" customFormat="1" ht="16.5" customHeight="1" x14ac:dyDescent="0.25">
      <c r="B25" s="47">
        <v>45237</v>
      </c>
      <c r="C25" s="27"/>
      <c r="D25" s="27"/>
      <c r="E25" s="27"/>
      <c r="F25" s="27"/>
      <c r="G25" s="65" t="s">
        <v>931</v>
      </c>
      <c r="H25" s="28"/>
      <c r="I25" s="28"/>
      <c r="J25" s="28"/>
      <c r="K25" s="28"/>
      <c r="L25" s="28"/>
      <c r="M25" s="28"/>
      <c r="N25" s="28">
        <v>-780</v>
      </c>
      <c r="O25" s="28"/>
      <c r="P25" s="26">
        <f>SUM(Table134732[[#This Row],[Valor de la Factura del Cliente]:[Avance]])+P24</f>
        <v>-936</v>
      </c>
    </row>
    <row r="26" spans="2:16" s="12" customFormat="1" ht="16.5" customHeight="1" x14ac:dyDescent="0.25">
      <c r="B26" s="47">
        <v>45238</v>
      </c>
      <c r="C26" s="27"/>
      <c r="D26" s="27"/>
      <c r="E26" s="27"/>
      <c r="F26" s="27"/>
      <c r="G26" s="65" t="s">
        <v>295</v>
      </c>
      <c r="H26" s="28"/>
      <c r="I26" s="28"/>
      <c r="J26" s="28"/>
      <c r="K26" s="28"/>
      <c r="L26" s="28"/>
      <c r="M26" s="28"/>
      <c r="N26" s="28">
        <v>-670</v>
      </c>
      <c r="O26" s="28"/>
      <c r="P26" s="26">
        <f>SUM(Table134732[[#This Row],[Valor de la Factura del Cliente]:[Avance]])+P25</f>
        <v>-1606</v>
      </c>
    </row>
    <row r="27" spans="2:16" s="12" customFormat="1" ht="16.5" customHeight="1" x14ac:dyDescent="0.25">
      <c r="B27" s="47">
        <v>45243</v>
      </c>
      <c r="C27" s="27"/>
      <c r="D27" s="27"/>
      <c r="E27" s="27"/>
      <c r="F27" s="27"/>
      <c r="G27" s="65" t="s">
        <v>931</v>
      </c>
      <c r="H27" s="28"/>
      <c r="I27" s="28"/>
      <c r="J27" s="28"/>
      <c r="K27" s="28"/>
      <c r="L27" s="28"/>
      <c r="M27" s="28"/>
      <c r="N27" s="28">
        <v>-1000</v>
      </c>
      <c r="O27" s="28"/>
      <c r="P27" s="26">
        <f>SUM(Table134732[[#This Row],[Valor de la Factura del Cliente]:[Avance]])+P26</f>
        <v>-2606</v>
      </c>
    </row>
    <row r="28" spans="2:16" s="12" customFormat="1" ht="16.5" customHeight="1" x14ac:dyDescent="0.25">
      <c r="B28" s="47">
        <v>45250</v>
      </c>
      <c r="C28" s="27"/>
      <c r="D28" s="27"/>
      <c r="E28" s="27"/>
      <c r="F28" s="27"/>
      <c r="G28" s="65" t="s">
        <v>931</v>
      </c>
      <c r="H28" s="28"/>
      <c r="I28" s="28"/>
      <c r="J28" s="28"/>
      <c r="K28" s="28"/>
      <c r="L28" s="28"/>
      <c r="M28" s="28"/>
      <c r="N28" s="28">
        <v>-280</v>
      </c>
      <c r="O28" s="28"/>
      <c r="P28" s="26">
        <f>SUM(Table134732[[#This Row],[Valor de la Factura del Cliente]:[Avance]])+P27</f>
        <v>-2886</v>
      </c>
    </row>
    <row r="29" spans="2:16" s="12" customFormat="1" ht="16.5" customHeight="1" x14ac:dyDescent="0.25">
      <c r="B29" s="47">
        <v>45286</v>
      </c>
      <c r="C29" s="27"/>
      <c r="D29" s="27"/>
      <c r="E29" s="27"/>
      <c r="F29" s="27"/>
      <c r="G29" s="65" t="s">
        <v>931</v>
      </c>
      <c r="H29" s="28"/>
      <c r="I29" s="28"/>
      <c r="J29" s="28"/>
      <c r="K29" s="28"/>
      <c r="L29" s="28"/>
      <c r="M29" s="28"/>
      <c r="N29" s="28">
        <v>-600</v>
      </c>
      <c r="O29" s="28"/>
      <c r="P29" s="26">
        <f>SUM(Table134732[[#This Row],[Valor de la Factura del Cliente]:[Avance]])+P28</f>
        <v>-3486</v>
      </c>
    </row>
    <row r="30" spans="2:16" s="12" customFormat="1" ht="16.5" customHeight="1" x14ac:dyDescent="0.25">
      <c r="B30" s="47">
        <v>45296</v>
      </c>
      <c r="C30" s="27"/>
      <c r="D30" s="27"/>
      <c r="E30" s="27"/>
      <c r="F30" s="27"/>
      <c r="G30" s="65" t="s">
        <v>295</v>
      </c>
      <c r="H30" s="28"/>
      <c r="I30" s="28"/>
      <c r="J30" s="28"/>
      <c r="K30" s="28"/>
      <c r="L30" s="28"/>
      <c r="M30" s="28"/>
      <c r="N30" s="28">
        <v>-400</v>
      </c>
      <c r="O30" s="28"/>
      <c r="P30" s="26">
        <f>SUM(Table134732[[#This Row],[Valor de la Factura del Cliente]:[Avance]])+P29</f>
        <v>-3886</v>
      </c>
    </row>
    <row r="31" spans="2:16" s="12" customFormat="1" ht="16.5" customHeight="1" x14ac:dyDescent="0.25">
      <c r="B31" s="47">
        <v>45300</v>
      </c>
      <c r="C31" s="27"/>
      <c r="D31" s="27"/>
      <c r="E31" s="27"/>
      <c r="F31" s="27"/>
      <c r="G31" s="65" t="s">
        <v>935</v>
      </c>
      <c r="H31" s="28"/>
      <c r="I31" s="28"/>
      <c r="J31" s="28"/>
      <c r="K31" s="28"/>
      <c r="L31" s="28"/>
      <c r="M31" s="28"/>
      <c r="N31" s="28">
        <v>-300</v>
      </c>
      <c r="O31" s="28"/>
      <c r="P31" s="26">
        <f>SUM(Table134732[[#This Row],[Valor de la Factura del Cliente]:[Avance]])+P30</f>
        <v>-4186</v>
      </c>
    </row>
    <row r="32" spans="2:16" s="12" customFormat="1" ht="16.5" customHeight="1" x14ac:dyDescent="0.25">
      <c r="B32" s="47">
        <v>45313</v>
      </c>
      <c r="C32" s="27"/>
      <c r="D32" s="27"/>
      <c r="E32" s="27"/>
      <c r="F32" s="27"/>
      <c r="G32" s="65" t="s">
        <v>936</v>
      </c>
      <c r="H32" s="28"/>
      <c r="I32" s="28"/>
      <c r="J32" s="28"/>
      <c r="K32" s="28"/>
      <c r="L32" s="28"/>
      <c r="M32" s="28"/>
      <c r="N32" s="28">
        <v>-200</v>
      </c>
      <c r="O32" s="28"/>
      <c r="P32" s="26">
        <f>SUM(Table134732[[#This Row],[Valor de la Factura del Cliente]:[Avance]])+P31</f>
        <v>-4386</v>
      </c>
    </row>
    <row r="33" spans="2:16" s="12" customFormat="1" ht="16.5" customHeight="1" x14ac:dyDescent="0.25">
      <c r="B33" s="47">
        <v>45340</v>
      </c>
      <c r="C33" s="27"/>
      <c r="D33" s="27"/>
      <c r="E33" s="27"/>
      <c r="F33" s="27"/>
      <c r="G33" s="65" t="s">
        <v>295</v>
      </c>
      <c r="H33" s="28"/>
      <c r="I33" s="28"/>
      <c r="J33" s="28"/>
      <c r="K33" s="28"/>
      <c r="L33" s="28"/>
      <c r="M33" s="28"/>
      <c r="N33" s="28">
        <v>-150</v>
      </c>
      <c r="O33" s="28"/>
      <c r="P33" s="26">
        <f>SUM(Table134732[[#This Row],[Valor de la Factura del Cliente]:[Avance]])+P32</f>
        <v>-4536</v>
      </c>
    </row>
    <row r="34" spans="2:16" s="12" customFormat="1" ht="16.5" customHeight="1" x14ac:dyDescent="0.25">
      <c r="B34" s="47">
        <v>45350</v>
      </c>
      <c r="C34" s="27"/>
      <c r="D34" s="27"/>
      <c r="E34" s="27"/>
      <c r="F34" s="27"/>
      <c r="G34" s="65" t="s">
        <v>295</v>
      </c>
      <c r="H34" s="28"/>
      <c r="I34" s="28"/>
      <c r="J34" s="28"/>
      <c r="K34" s="28"/>
      <c r="L34" s="28"/>
      <c r="M34" s="28"/>
      <c r="N34" s="28">
        <v>-300</v>
      </c>
      <c r="O34" s="28"/>
      <c r="P34" s="26">
        <f>SUM(Table134732[[#This Row],[Valor de la Factura del Cliente]:[Avance]])+P33</f>
        <v>-4836</v>
      </c>
    </row>
    <row r="35" spans="2:16" s="12" customFormat="1" ht="16.5" customHeight="1" x14ac:dyDescent="0.25">
      <c r="B35" s="47">
        <v>45365</v>
      </c>
      <c r="C35" s="27"/>
      <c r="D35" s="27"/>
      <c r="E35" s="27"/>
      <c r="F35" s="27"/>
      <c r="G35" s="65" t="s">
        <v>295</v>
      </c>
      <c r="H35" s="28"/>
      <c r="I35" s="28"/>
      <c r="J35" s="28"/>
      <c r="K35" s="28"/>
      <c r="L35" s="28"/>
      <c r="M35" s="28"/>
      <c r="N35" s="28">
        <v>-500</v>
      </c>
      <c r="O35" s="28"/>
      <c r="P35" s="26">
        <f>SUM(Table134732[[#This Row],[Valor de la Factura del Cliente]:[Avance]])+P34</f>
        <v>-5336</v>
      </c>
    </row>
    <row r="36" spans="2:16" s="12" customFormat="1" ht="16.5" customHeight="1" x14ac:dyDescent="0.25">
      <c r="B36" s="47">
        <v>45376</v>
      </c>
      <c r="C36" s="27"/>
      <c r="D36" s="27"/>
      <c r="E36" s="27"/>
      <c r="F36" s="27"/>
      <c r="G36" s="65" t="s">
        <v>937</v>
      </c>
      <c r="H36" s="28"/>
      <c r="I36" s="28"/>
      <c r="J36" s="28"/>
      <c r="K36" s="28"/>
      <c r="L36" s="28"/>
      <c r="M36" s="28"/>
      <c r="N36" s="28">
        <v>-1000</v>
      </c>
      <c r="O36" s="28"/>
      <c r="P36" s="26">
        <f>SUM(Table134732[[#This Row],[Valor de la Factura del Cliente]:[Avance]])+P35</f>
        <v>-6336</v>
      </c>
    </row>
    <row r="37" spans="2:16" s="12" customFormat="1" ht="16.5" customHeight="1" x14ac:dyDescent="0.25">
      <c r="B37" s="47">
        <v>45372</v>
      </c>
      <c r="C37" s="27"/>
      <c r="D37" s="27"/>
      <c r="E37" s="27"/>
      <c r="F37" s="27"/>
      <c r="G37" s="65" t="s">
        <v>937</v>
      </c>
      <c r="H37" s="28"/>
      <c r="I37" s="28"/>
      <c r="J37" s="28"/>
      <c r="K37" s="28"/>
      <c r="L37" s="28"/>
      <c r="M37" s="28"/>
      <c r="N37" s="28">
        <v>-40</v>
      </c>
      <c r="O37" s="28"/>
      <c r="P37" s="26">
        <f>SUM(Table134732[[#This Row],[Valor de la Factura del Cliente]:[Avance]])+P36</f>
        <v>-6376</v>
      </c>
    </row>
    <row r="38" spans="2:16" s="12" customFormat="1" ht="16.5" customHeight="1" x14ac:dyDescent="0.25">
      <c r="B38" s="47">
        <v>45425</v>
      </c>
      <c r="C38" s="27"/>
      <c r="D38" s="27"/>
      <c r="E38" s="27"/>
      <c r="F38" s="27"/>
      <c r="G38" s="65" t="s">
        <v>938</v>
      </c>
      <c r="H38" s="28"/>
      <c r="I38" s="28"/>
      <c r="J38" s="28"/>
      <c r="K38" s="28"/>
      <c r="L38" s="28"/>
      <c r="M38" s="28"/>
      <c r="N38" s="28">
        <v>-300</v>
      </c>
      <c r="O38" s="28"/>
      <c r="P38" s="26">
        <f>SUM(Table134732[[#This Row],[Valor de la Factura del Cliente]:[Avance]])+P37</f>
        <v>-6676</v>
      </c>
    </row>
    <row r="39" spans="2:16" ht="16.5" customHeight="1" x14ac:dyDescent="0.45">
      <c r="B39" s="72">
        <v>45478</v>
      </c>
      <c r="C39" s="73"/>
      <c r="D39" s="73"/>
      <c r="E39" s="73"/>
      <c r="F39" s="73"/>
      <c r="G39" s="73" t="s">
        <v>939</v>
      </c>
      <c r="H39" s="74"/>
      <c r="I39" s="74"/>
      <c r="J39" s="74"/>
      <c r="K39" s="74"/>
      <c r="L39" s="74"/>
      <c r="M39" s="74"/>
      <c r="N39" s="74">
        <v>-491.25</v>
      </c>
      <c r="O39" s="74"/>
      <c r="P39" s="26">
        <f>SUM(Table134732[[#This Row],[Valor de la Factura del Cliente]:[Avance]])+P38</f>
        <v>-7167.25</v>
      </c>
    </row>
    <row r="40" spans="2:16" ht="16.5" customHeight="1" x14ac:dyDescent="0.45">
      <c r="B40" s="72">
        <v>45502</v>
      </c>
      <c r="C40" s="73"/>
      <c r="D40" s="73"/>
      <c r="E40" s="73"/>
      <c r="F40" s="73"/>
      <c r="G40" s="73" t="s">
        <v>938</v>
      </c>
      <c r="H40" s="74"/>
      <c r="I40" s="74"/>
      <c r="J40" s="74"/>
      <c r="K40" s="74"/>
      <c r="L40" s="74"/>
      <c r="M40" s="74"/>
      <c r="N40" s="74">
        <v>-300</v>
      </c>
      <c r="O40" s="74"/>
      <c r="P40" s="26">
        <f>SUM(Table134732[[#This Row],[Valor de la Factura del Cliente]:[Avance]])+P39</f>
        <v>-7467.25</v>
      </c>
    </row>
    <row r="41" spans="2:16" ht="16.5" customHeight="1" x14ac:dyDescent="0.45">
      <c r="B41" s="72">
        <v>45519</v>
      </c>
      <c r="C41" s="73"/>
      <c r="D41" s="73"/>
      <c r="E41" s="73"/>
      <c r="F41" s="73"/>
      <c r="G41" s="73" t="s">
        <v>938</v>
      </c>
      <c r="H41" s="74"/>
      <c r="I41" s="74"/>
      <c r="J41" s="74"/>
      <c r="K41" s="74"/>
      <c r="L41" s="74"/>
      <c r="M41" s="74"/>
      <c r="N41" s="74">
        <v>-600</v>
      </c>
      <c r="O41" s="74"/>
      <c r="P41" s="26">
        <f>SUM(Table134732[[#This Row],[Valor de la Factura del Cliente]:[Avance]])+P40</f>
        <v>-8067.25</v>
      </c>
    </row>
    <row r="42" spans="2:16" ht="16.5" customHeight="1" x14ac:dyDescent="0.45">
      <c r="B42" s="72">
        <v>45539</v>
      </c>
      <c r="C42" s="73"/>
      <c r="D42" s="73"/>
      <c r="E42" s="73"/>
      <c r="F42" s="73"/>
      <c r="G42" s="73" t="s">
        <v>936</v>
      </c>
      <c r="H42" s="74"/>
      <c r="I42" s="74"/>
      <c r="J42" s="74"/>
      <c r="K42" s="74"/>
      <c r="L42" s="74"/>
      <c r="M42" s="74"/>
      <c r="N42" s="74">
        <v>-300</v>
      </c>
      <c r="O42" s="74"/>
      <c r="P42" s="26">
        <f>SUM(Table134732[[#This Row],[Valor de la Factura del Cliente]:[Avance]])+P41</f>
        <v>-8367.25</v>
      </c>
    </row>
    <row r="43" spans="2:16" ht="16.5" customHeight="1" x14ac:dyDescent="0.45">
      <c r="B43" s="72">
        <v>45551</v>
      </c>
      <c r="C43" s="73"/>
      <c r="D43" s="73"/>
      <c r="E43" s="73"/>
      <c r="F43" s="73"/>
      <c r="G43" s="73" t="s">
        <v>940</v>
      </c>
      <c r="H43" s="74"/>
      <c r="I43" s="74"/>
      <c r="J43" s="74"/>
      <c r="K43" s="74"/>
      <c r="L43" s="74"/>
      <c r="M43" s="74"/>
      <c r="N43" s="74">
        <v>-75</v>
      </c>
      <c r="O43" s="74"/>
      <c r="P43" s="26">
        <f>SUM(Table134732[[#This Row],[Valor de la Factura del Cliente]:[Avance]])+P42</f>
        <v>-8442.25</v>
      </c>
    </row>
    <row r="44" spans="2:16" ht="16.5" customHeight="1" x14ac:dyDescent="0.45">
      <c r="B44" s="72">
        <v>45559</v>
      </c>
      <c r="C44" s="73"/>
      <c r="D44" s="73"/>
      <c r="E44" s="73"/>
      <c r="F44" s="73"/>
      <c r="G44" s="73" t="s">
        <v>938</v>
      </c>
      <c r="H44" s="74"/>
      <c r="I44" s="74"/>
      <c r="J44" s="74"/>
      <c r="K44" s="74"/>
      <c r="L44" s="74"/>
      <c r="M44" s="74"/>
      <c r="N44" s="74">
        <v>-400</v>
      </c>
      <c r="O44" s="74"/>
      <c r="P44" s="26">
        <f>SUM(Table134732[[#This Row],[Valor de la Factura del Cliente]:[Avance]])+P43</f>
        <v>-8842.25</v>
      </c>
    </row>
    <row r="45" spans="2:16" ht="16.5" customHeight="1" x14ac:dyDescent="0.45">
      <c r="B45" s="72">
        <v>45576</v>
      </c>
      <c r="C45" s="73"/>
      <c r="D45" s="73"/>
      <c r="E45" s="73"/>
      <c r="F45" s="73"/>
      <c r="G45" s="73" t="s">
        <v>936</v>
      </c>
      <c r="H45" s="74"/>
      <c r="I45" s="74"/>
      <c r="J45" s="74"/>
      <c r="K45" s="74"/>
      <c r="L45" s="74"/>
      <c r="M45" s="74"/>
      <c r="N45" s="74">
        <v>-500</v>
      </c>
      <c r="O45" s="74"/>
      <c r="P45" s="26">
        <f>SUM(Table134732[[#This Row],[Valor de la Factura del Cliente]:[Avance]])+P44</f>
        <v>-9342.25</v>
      </c>
    </row>
    <row r="46" spans="2:16" ht="16.5" customHeight="1" x14ac:dyDescent="0.45">
      <c r="B46" s="72">
        <v>45576</v>
      </c>
      <c r="C46" s="73"/>
      <c r="D46" s="73"/>
      <c r="E46" s="73"/>
      <c r="F46" s="73"/>
      <c r="G46" s="73" t="s">
        <v>940</v>
      </c>
      <c r="H46" s="74"/>
      <c r="I46" s="74"/>
      <c r="J46" s="74"/>
      <c r="K46" s="74"/>
      <c r="L46" s="74"/>
      <c r="M46" s="74"/>
      <c r="N46" s="74">
        <v>-100</v>
      </c>
      <c r="O46" s="74"/>
      <c r="P46" s="26">
        <f>SUM(Table134732[[#This Row],[Valor de la Factura del Cliente]:[Avance]])+P45</f>
        <v>-9442.25</v>
      </c>
    </row>
    <row r="47" spans="2:16" ht="16.5" customHeight="1" x14ac:dyDescent="0.45">
      <c r="B47" s="72">
        <v>45587</v>
      </c>
      <c r="C47" s="73"/>
      <c r="D47" s="73"/>
      <c r="E47" s="73"/>
      <c r="F47" s="73"/>
      <c r="G47" s="73" t="s">
        <v>938</v>
      </c>
      <c r="H47" s="74"/>
      <c r="I47" s="74"/>
      <c r="J47" s="74"/>
      <c r="K47" s="74"/>
      <c r="L47" s="74"/>
      <c r="M47" s="74"/>
      <c r="N47" s="74">
        <v>-200</v>
      </c>
      <c r="O47" s="74"/>
      <c r="P47" s="26">
        <f>SUM(Table134732[[#This Row],[Valor de la Factura del Cliente]:[Avance]])+P46</f>
        <v>-9642.25</v>
      </c>
    </row>
    <row r="48" spans="2:16" ht="16.5" customHeight="1" x14ac:dyDescent="0.45">
      <c r="B48" s="72">
        <v>45601</v>
      </c>
      <c r="C48" s="73"/>
      <c r="D48" s="73"/>
      <c r="E48" s="73"/>
      <c r="F48" s="73"/>
      <c r="G48" s="73" t="s">
        <v>938</v>
      </c>
      <c r="H48" s="74"/>
      <c r="I48" s="74"/>
      <c r="J48" s="74"/>
      <c r="K48" s="74"/>
      <c r="L48" s="74"/>
      <c r="M48" s="74"/>
      <c r="N48" s="74">
        <v>-240</v>
      </c>
      <c r="O48" s="74"/>
      <c r="P48" s="26">
        <f>SUM(Table134732[[#This Row],[Valor de la Factura del Cliente]:[Avance]])+P47</f>
        <v>-9882.25</v>
      </c>
    </row>
    <row r="49" spans="2:16" ht="16.5" customHeight="1" x14ac:dyDescent="0.45">
      <c r="B49" s="72">
        <v>45622</v>
      </c>
      <c r="C49" s="73"/>
      <c r="D49" s="73"/>
      <c r="E49" s="73"/>
      <c r="F49" s="73"/>
      <c r="G49" s="73" t="s">
        <v>938</v>
      </c>
      <c r="H49" s="74"/>
      <c r="I49" s="74"/>
      <c r="J49" s="74"/>
      <c r="K49" s="74"/>
      <c r="L49" s="74"/>
      <c r="M49" s="74"/>
      <c r="N49" s="74">
        <v>-200</v>
      </c>
      <c r="O49" s="74"/>
      <c r="P49" s="26">
        <f>SUM(Table134732[[#This Row],[Valor de la Factura del Cliente]:[Avance]])+P48</f>
        <v>-10082.25</v>
      </c>
    </row>
    <row r="50" spans="2:16" ht="16.5" customHeight="1" x14ac:dyDescent="0.45">
      <c r="B50" s="72">
        <v>45625</v>
      </c>
      <c r="C50" s="73"/>
      <c r="D50" s="73"/>
      <c r="E50" s="73"/>
      <c r="F50" s="73"/>
      <c r="G50" s="73" t="s">
        <v>941</v>
      </c>
      <c r="H50" s="74"/>
      <c r="I50" s="74"/>
      <c r="J50" s="74"/>
      <c r="K50" s="74"/>
      <c r="L50" s="74"/>
      <c r="M50" s="74"/>
      <c r="N50" s="74">
        <v>-400</v>
      </c>
      <c r="O50" s="74"/>
      <c r="P50" s="26">
        <f>SUM(Table134732[[#This Row],[Valor de la Factura del Cliente]:[Avance]])+P49</f>
        <v>-10482.25</v>
      </c>
    </row>
    <row r="51" spans="2:16" ht="16.5" customHeight="1" x14ac:dyDescent="0.45">
      <c r="B51" s="72">
        <v>45630</v>
      </c>
      <c r="C51" s="73"/>
      <c r="D51" s="73"/>
      <c r="E51" s="73"/>
      <c r="F51" s="73"/>
      <c r="G51" s="73" t="s">
        <v>938</v>
      </c>
      <c r="H51" s="74"/>
      <c r="I51" s="74"/>
      <c r="J51" s="74"/>
      <c r="K51" s="74"/>
      <c r="L51" s="74"/>
      <c r="M51" s="74"/>
      <c r="N51" s="74">
        <v>-150</v>
      </c>
      <c r="O51" s="74"/>
      <c r="P51" s="26">
        <f>SUM(Table134732[[#This Row],[Valor de la Factura del Cliente]:[Avance]])+P50</f>
        <v>-10632.25</v>
      </c>
    </row>
    <row r="52" spans="2:16" ht="16.5" customHeight="1" x14ac:dyDescent="0.45">
      <c r="B52" s="72">
        <v>45650</v>
      </c>
      <c r="C52" s="73"/>
      <c r="D52" s="73"/>
      <c r="E52" s="73"/>
      <c r="F52" s="73"/>
      <c r="G52" s="73" t="s">
        <v>938</v>
      </c>
      <c r="H52" s="74"/>
      <c r="I52" s="74"/>
      <c r="J52" s="74"/>
      <c r="K52" s="74"/>
      <c r="L52" s="74"/>
      <c r="M52" s="74"/>
      <c r="N52" s="74">
        <v>-750</v>
      </c>
      <c r="O52" s="74"/>
      <c r="P52" s="26">
        <f>SUM(Table134732[[#This Row],[Valor de la Factura del Cliente]:[Avance]])+P51</f>
        <v>-11382.25</v>
      </c>
    </row>
    <row r="53" spans="2:16" ht="16.5" customHeight="1" x14ac:dyDescent="0.45">
      <c r="B53" s="72">
        <v>45657</v>
      </c>
      <c r="C53" s="73"/>
      <c r="D53" s="73"/>
      <c r="E53" s="73"/>
      <c r="F53" s="73"/>
      <c r="G53" s="73" t="s">
        <v>705</v>
      </c>
      <c r="H53" s="74"/>
      <c r="I53" s="74"/>
      <c r="J53" s="74"/>
      <c r="K53" s="74"/>
      <c r="L53" s="74"/>
      <c r="M53" s="74"/>
      <c r="N53" s="74">
        <v>-322</v>
      </c>
      <c r="O53" s="74"/>
      <c r="P53" s="26">
        <f>SUM(Table134732[[#This Row],[Valor de la Factura del Cliente]:[Avance]])+P52</f>
        <v>-11704.25</v>
      </c>
    </row>
    <row r="54" spans="2:16" ht="16.5" customHeight="1" x14ac:dyDescent="0.45">
      <c r="B54" s="72">
        <v>45660</v>
      </c>
      <c r="C54" s="73"/>
      <c r="D54" s="73"/>
      <c r="E54" s="73"/>
      <c r="F54" s="73"/>
      <c r="G54" s="73" t="s">
        <v>942</v>
      </c>
      <c r="H54" s="74"/>
      <c r="I54" s="74"/>
      <c r="J54" s="74"/>
      <c r="K54" s="74"/>
      <c r="L54" s="74"/>
      <c r="M54" s="74"/>
      <c r="N54" s="74">
        <v>-176.29999999999998</v>
      </c>
      <c r="O54" s="74"/>
      <c r="P54" s="26">
        <f>SUM(Table134732[[#This Row],[Valor de la Factura del Cliente]:[Avance]])+P53</f>
        <v>-11880.55</v>
      </c>
    </row>
    <row r="55" spans="2:16" ht="16.5" customHeight="1" x14ac:dyDescent="0.45">
      <c r="B55" s="72">
        <v>45676</v>
      </c>
      <c r="C55" s="73"/>
      <c r="D55" s="73"/>
      <c r="E55" s="73"/>
      <c r="F55" s="73"/>
      <c r="G55" s="73" t="s">
        <v>891</v>
      </c>
      <c r="H55" s="74"/>
      <c r="I55" s="74"/>
      <c r="J55" s="74"/>
      <c r="K55" s="74"/>
      <c r="L55" s="74"/>
      <c r="M55" s="74"/>
      <c r="N55" s="74">
        <v>-143.33333333333334</v>
      </c>
      <c r="O55" s="74"/>
      <c r="P55" s="26">
        <f>SUM(Table134732[[#This Row],[Valor de la Factura del Cliente]:[Avance]])+P54</f>
        <v>-12023.883333333333</v>
      </c>
    </row>
    <row r="56" spans="2:16" ht="16.5" customHeight="1" x14ac:dyDescent="0.45">
      <c r="B56" s="72">
        <v>45677</v>
      </c>
      <c r="C56" s="73"/>
      <c r="D56" s="73"/>
      <c r="E56" s="73"/>
      <c r="F56" s="73"/>
      <c r="G56" s="73" t="s">
        <v>943</v>
      </c>
      <c r="H56" s="74"/>
      <c r="I56" s="74"/>
      <c r="J56" s="74"/>
      <c r="K56" s="74"/>
      <c r="L56" s="74"/>
      <c r="M56" s="74"/>
      <c r="N56" s="74">
        <v>-63</v>
      </c>
      <c r="O56" s="74"/>
      <c r="P56" s="26">
        <f>SUM(Table134732[[#This Row],[Valor de la Factura del Cliente]:[Avance]])+P55</f>
        <v>-12086.883333333333</v>
      </c>
    </row>
    <row r="57" spans="2:16" ht="16.5" customHeight="1" x14ac:dyDescent="0.45">
      <c r="B57" s="72">
        <v>45679</v>
      </c>
      <c r="C57" s="73"/>
      <c r="D57" s="73"/>
      <c r="E57" s="73"/>
      <c r="F57" s="73"/>
      <c r="G57" s="73" t="s">
        <v>917</v>
      </c>
      <c r="H57" s="74"/>
      <c r="I57" s="74"/>
      <c r="J57" s="74"/>
      <c r="K57" s="74"/>
      <c r="L57" s="74"/>
      <c r="M57" s="74"/>
      <c r="N57" s="74">
        <v>-100.80333333333334</v>
      </c>
      <c r="O57" s="74"/>
      <c r="P57" s="26">
        <f>SUM(Table134732[[#This Row],[Valor de la Factura del Cliente]:[Avance]])+P56</f>
        <v>-12187.686666666666</v>
      </c>
    </row>
    <row r="58" spans="2:16" ht="16.5" customHeight="1" x14ac:dyDescent="0.45">
      <c r="B58" s="72">
        <v>45686</v>
      </c>
      <c r="C58" s="73"/>
      <c r="D58" s="73"/>
      <c r="E58" s="73"/>
      <c r="F58" s="73"/>
      <c r="G58" s="73" t="s">
        <v>917</v>
      </c>
      <c r="H58" s="74"/>
      <c r="I58" s="74"/>
      <c r="J58" s="74"/>
      <c r="K58" s="74"/>
      <c r="L58" s="74"/>
      <c r="M58" s="74"/>
      <c r="N58" s="74">
        <v>-57.09</v>
      </c>
      <c r="O58" s="74"/>
      <c r="P58" s="26">
        <f>SUM(Table134732[[#This Row],[Valor de la Factura del Cliente]:[Avance]])+P57</f>
        <v>-12244.776666666667</v>
      </c>
    </row>
    <row r="59" spans="2:16" ht="16.5" customHeight="1" x14ac:dyDescent="0.45">
      <c r="B59" s="72">
        <v>45691</v>
      </c>
      <c r="C59" s="73"/>
      <c r="D59" s="73"/>
      <c r="E59" s="73"/>
      <c r="F59" s="73"/>
      <c r="G59" s="73" t="s">
        <v>944</v>
      </c>
      <c r="H59" s="74"/>
      <c r="I59" s="74"/>
      <c r="J59" s="74"/>
      <c r="K59" s="74"/>
      <c r="L59" s="74"/>
      <c r="M59" s="74"/>
      <c r="N59" s="74">
        <v>-31.02</v>
      </c>
      <c r="O59" s="74"/>
      <c r="P59" s="26">
        <f>SUM(Table134732[[#This Row],[Valor de la Factura del Cliente]:[Avance]])+P58</f>
        <v>-12275.796666666667</v>
      </c>
    </row>
    <row r="60" spans="2:16" ht="16.5" customHeight="1" x14ac:dyDescent="0.45">
      <c r="B60" s="72">
        <v>45692</v>
      </c>
      <c r="C60" s="73"/>
      <c r="D60" s="73"/>
      <c r="E60" s="73"/>
      <c r="F60" s="73"/>
      <c r="G60" s="73" t="s">
        <v>945</v>
      </c>
      <c r="H60" s="74"/>
      <c r="I60" s="74"/>
      <c r="J60" s="74"/>
      <c r="K60" s="74"/>
      <c r="L60" s="74"/>
      <c r="M60" s="74"/>
      <c r="N60" s="74">
        <v>-62.66</v>
      </c>
      <c r="O60" s="74"/>
      <c r="P60" s="26">
        <f>SUM(Table134732[[#This Row],[Valor de la Factura del Cliente]:[Avance]])+P59</f>
        <v>-12338.456666666667</v>
      </c>
    </row>
    <row r="61" spans="2:16" ht="16.5" customHeight="1" x14ac:dyDescent="0.45">
      <c r="B61" s="72">
        <v>45697</v>
      </c>
      <c r="C61" s="73"/>
      <c r="D61" s="73"/>
      <c r="E61" s="73"/>
      <c r="F61" s="73"/>
      <c r="G61" s="73" t="s">
        <v>945</v>
      </c>
      <c r="H61" s="74"/>
      <c r="I61" s="74"/>
      <c r="J61" s="74"/>
      <c r="K61" s="74"/>
      <c r="L61" s="74"/>
      <c r="M61" s="74"/>
      <c r="N61" s="74">
        <v>-113.09</v>
      </c>
      <c r="O61" s="74"/>
      <c r="P61" s="26">
        <f>SUM(Table134732[[#This Row],[Valor de la Factura del Cliente]:[Avance]])+P60</f>
        <v>-12451.546666666667</v>
      </c>
    </row>
    <row r="62" spans="2:16" ht="16.5" customHeight="1" x14ac:dyDescent="0.45">
      <c r="B62" s="72">
        <v>45703</v>
      </c>
      <c r="C62" s="73"/>
      <c r="D62" s="73"/>
      <c r="E62" s="73"/>
      <c r="F62" s="73"/>
      <c r="G62" s="73" t="s">
        <v>945</v>
      </c>
      <c r="H62" s="74"/>
      <c r="I62" s="74"/>
      <c r="J62" s="74"/>
      <c r="K62" s="74"/>
      <c r="L62" s="74"/>
      <c r="M62" s="74"/>
      <c r="N62" s="74">
        <v>-82.25</v>
      </c>
      <c r="O62" s="74"/>
      <c r="P62" s="26">
        <f>SUM(Table134732[[#This Row],[Valor de la Factura del Cliente]:[Avance]])+P61</f>
        <v>-12533.796666666667</v>
      </c>
    </row>
    <row r="63" spans="2:16" ht="16.5" customHeight="1" x14ac:dyDescent="0.45">
      <c r="B63" s="72">
        <v>45704</v>
      </c>
      <c r="C63" s="73"/>
      <c r="D63" s="73"/>
      <c r="E63" s="73"/>
      <c r="F63" s="73"/>
      <c r="G63" s="73" t="s">
        <v>945</v>
      </c>
      <c r="H63" s="74"/>
      <c r="I63" s="74"/>
      <c r="J63" s="74"/>
      <c r="K63" s="74"/>
      <c r="L63" s="74"/>
      <c r="M63" s="74"/>
      <c r="N63" s="74">
        <v>-127.76</v>
      </c>
      <c r="O63" s="74"/>
      <c r="P63" s="26">
        <f>SUM(Table134732[[#This Row],[Valor de la Factura del Cliente]:[Avance]])+P62</f>
        <v>-12661.556666666667</v>
      </c>
    </row>
    <row r="64" spans="2:16" ht="16.5" customHeight="1" x14ac:dyDescent="0.45">
      <c r="B64" s="72">
        <v>45690</v>
      </c>
      <c r="C64" s="73"/>
      <c r="D64" s="73"/>
      <c r="E64" s="73"/>
      <c r="F64" s="73"/>
      <c r="G64" s="73" t="s">
        <v>946</v>
      </c>
      <c r="H64" s="74"/>
      <c r="I64" s="74"/>
      <c r="J64" s="74"/>
      <c r="K64" s="74"/>
      <c r="L64" s="74"/>
      <c r="M64" s="74"/>
      <c r="N64" s="74">
        <v>-232.41</v>
      </c>
      <c r="O64" s="74"/>
      <c r="P64" s="26">
        <f>SUM(Table134732[[#This Row],[Valor de la Factura del Cliente]:[Avance]])+P63</f>
        <v>-12893.966666666667</v>
      </c>
    </row>
    <row r="65" spans="2:16" ht="16.5" customHeight="1" x14ac:dyDescent="0.45">
      <c r="B65" s="72">
        <v>45690</v>
      </c>
      <c r="C65" s="73"/>
      <c r="D65" s="73"/>
      <c r="E65" s="73"/>
      <c r="F65" s="73"/>
      <c r="G65" s="73" t="s">
        <v>946</v>
      </c>
      <c r="H65" s="74"/>
      <c r="I65" s="74"/>
      <c r="J65" s="74"/>
      <c r="K65" s="74"/>
      <c r="L65" s="74"/>
      <c r="M65" s="74"/>
      <c r="N65" s="74">
        <v>-35</v>
      </c>
      <c r="O65" s="74"/>
      <c r="P65" s="26">
        <f>SUM(Table134732[[#This Row],[Valor de la Factura del Cliente]:[Avance]])+P64</f>
        <v>-12928.966666666667</v>
      </c>
    </row>
    <row r="66" spans="2:16" ht="16.5" customHeight="1" x14ac:dyDescent="0.45">
      <c r="B66" s="72">
        <v>45691</v>
      </c>
      <c r="C66" s="73"/>
      <c r="D66" s="73"/>
      <c r="E66" s="73"/>
      <c r="F66" s="73"/>
      <c r="G66" s="73" t="s">
        <v>946</v>
      </c>
      <c r="H66" s="74"/>
      <c r="I66" s="74"/>
      <c r="J66" s="74"/>
      <c r="K66" s="74"/>
      <c r="L66" s="74"/>
      <c r="M66" s="74"/>
      <c r="N66" s="74">
        <v>-138.1</v>
      </c>
      <c r="O66" s="74"/>
      <c r="P66" s="26">
        <f>SUM(Table134732[[#This Row],[Valor de la Factura del Cliente]:[Avance]])+P65</f>
        <v>-13067.066666666668</v>
      </c>
    </row>
    <row r="67" spans="2:16" ht="16.5" customHeight="1" x14ac:dyDescent="0.45">
      <c r="B67" s="72">
        <v>45693</v>
      </c>
      <c r="C67" s="73"/>
      <c r="D67" s="73"/>
      <c r="E67" s="73"/>
      <c r="F67" s="73"/>
      <c r="G67" s="73" t="s">
        <v>947</v>
      </c>
      <c r="H67" s="74"/>
      <c r="I67" s="74"/>
      <c r="J67" s="74"/>
      <c r="K67" s="74"/>
      <c r="L67" s="74"/>
      <c r="M67" s="74"/>
      <c r="N67" s="74">
        <v>-44.773333333333333</v>
      </c>
      <c r="O67" s="74"/>
      <c r="P67" s="26">
        <f>SUM(Table134732[[#This Row],[Valor de la Factura del Cliente]:[Avance]])+P66</f>
        <v>-13111.84</v>
      </c>
    </row>
    <row r="68" spans="2:16" ht="16.5" customHeight="1" x14ac:dyDescent="0.45">
      <c r="B68" s="72">
        <v>45712</v>
      </c>
      <c r="C68" s="73"/>
      <c r="D68" s="73"/>
      <c r="E68" s="73"/>
      <c r="F68" s="73"/>
      <c r="G68" s="73" t="s">
        <v>948</v>
      </c>
      <c r="H68" s="74"/>
      <c r="I68" s="74"/>
      <c r="J68" s="74"/>
      <c r="K68" s="74"/>
      <c r="L68" s="74"/>
      <c r="M68" s="74"/>
      <c r="N68" s="74">
        <v>-404.52</v>
      </c>
      <c r="O68" s="74"/>
      <c r="P68" s="26">
        <f>SUM(Table134732[[#This Row],[Valor de la Factura del Cliente]:[Avance]])+P67</f>
        <v>-13516.36</v>
      </c>
    </row>
    <row r="69" spans="2:16" ht="16.5" customHeight="1" x14ac:dyDescent="0.45">
      <c r="B69" s="72">
        <v>45723</v>
      </c>
      <c r="C69" s="73"/>
      <c r="D69" s="73"/>
      <c r="E69" s="73"/>
      <c r="F69" s="73"/>
      <c r="G69" s="73" t="s">
        <v>949</v>
      </c>
      <c r="H69" s="74"/>
      <c r="I69" s="74"/>
      <c r="J69" s="74"/>
      <c r="K69" s="74"/>
      <c r="L69" s="74"/>
      <c r="M69" s="74"/>
      <c r="N69" s="74">
        <v>-100</v>
      </c>
      <c r="O69" s="74"/>
      <c r="P69" s="26">
        <f>SUM(Table134732[[#This Row],[Valor de la Factura del Cliente]:[Avance]])+P68</f>
        <v>-13616.36</v>
      </c>
    </row>
    <row r="70" spans="2:16" ht="16.5" customHeight="1" x14ac:dyDescent="0.45">
      <c r="B70" s="72">
        <v>45729</v>
      </c>
      <c r="C70" s="73"/>
      <c r="D70" s="73"/>
      <c r="E70" s="73"/>
      <c r="F70" s="73"/>
      <c r="G70" s="73" t="s">
        <v>950</v>
      </c>
      <c r="H70" s="74"/>
      <c r="I70" s="74"/>
      <c r="J70" s="74"/>
      <c r="K70" s="74"/>
      <c r="L70" s="74"/>
      <c r="M70" s="74"/>
      <c r="N70" s="74">
        <v>-100</v>
      </c>
      <c r="O70" s="74"/>
      <c r="P70" s="26">
        <f>SUM(Table134732[[#This Row],[Valor de la Factura del Cliente]:[Avance]])+P69</f>
        <v>-13716.36</v>
      </c>
    </row>
    <row r="71" spans="2:16" ht="16.5" customHeight="1" x14ac:dyDescent="0.45">
      <c r="B71" s="72">
        <v>45736</v>
      </c>
      <c r="C71" s="73"/>
      <c r="D71" s="73"/>
      <c r="E71" s="73"/>
      <c r="F71" s="73"/>
      <c r="G71" s="73" t="s">
        <v>951</v>
      </c>
      <c r="H71" s="74">
        <v>400</v>
      </c>
      <c r="I71" s="74"/>
      <c r="J71" s="74"/>
      <c r="K71" s="74"/>
      <c r="L71" s="74"/>
      <c r="M71" s="74"/>
      <c r="N71" s="74">
        <v>0</v>
      </c>
      <c r="O71" s="74"/>
      <c r="P71" s="26">
        <f>SUM(Table134732[[#This Row],[Valor de la Factura del Cliente]:[Avance]])+P70</f>
        <v>-13316.36</v>
      </c>
    </row>
    <row r="72" spans="2:16" ht="16.5" customHeight="1" x14ac:dyDescent="0.45">
      <c r="B72" s="72">
        <v>45740</v>
      </c>
      <c r="C72" s="73"/>
      <c r="D72" s="73"/>
      <c r="E72" s="73"/>
      <c r="F72" s="73"/>
      <c r="G72" s="73" t="s">
        <v>950</v>
      </c>
      <c r="H72" s="74"/>
      <c r="I72" s="74"/>
      <c r="J72" s="74"/>
      <c r="K72" s="74"/>
      <c r="L72" s="74"/>
      <c r="M72" s="74"/>
      <c r="N72" s="74">
        <v>-140</v>
      </c>
      <c r="O72" s="74"/>
      <c r="P72" s="26">
        <f>SUM(Table134732[[#This Row],[Valor de la Factura del Cliente]:[Avance]])+P71</f>
        <v>-13456.36</v>
      </c>
    </row>
    <row r="73" spans="2:16" ht="16.5" customHeight="1" x14ac:dyDescent="0.45">
      <c r="B73" s="72">
        <v>45740</v>
      </c>
      <c r="C73" s="73"/>
      <c r="D73" s="73"/>
      <c r="E73" s="73"/>
      <c r="F73" s="73"/>
      <c r="G73" s="73" t="s">
        <v>952</v>
      </c>
      <c r="H73" s="74"/>
      <c r="I73" s="74"/>
      <c r="J73" s="74"/>
      <c r="K73" s="74"/>
      <c r="L73" s="74"/>
      <c r="M73" s="74"/>
      <c r="N73" s="74">
        <v>-260</v>
      </c>
      <c r="O73" s="74"/>
      <c r="P73" s="26">
        <f>SUM(Table134732[[#This Row],[Valor de la Factura del Cliente]:[Avance]])+P72</f>
        <v>-13716.36</v>
      </c>
    </row>
    <row r="74" spans="2:16" ht="16.5" customHeight="1" x14ac:dyDescent="0.45">
      <c r="B74" s="72">
        <v>45690</v>
      </c>
      <c r="C74" s="73"/>
      <c r="D74" s="73"/>
      <c r="E74" s="73"/>
      <c r="F74" s="73"/>
      <c r="G74" s="73" t="s">
        <v>947</v>
      </c>
      <c r="H74" s="74"/>
      <c r="I74" s="74"/>
      <c r="J74" s="74"/>
      <c r="K74" s="74"/>
      <c r="L74" s="74"/>
      <c r="M74" s="74"/>
      <c r="N74" s="74">
        <v>-44.77</v>
      </c>
      <c r="O74" s="74"/>
      <c r="P74" s="26">
        <f>SUM(Table134732[[#This Row],[Valor de la Factura del Cliente]:[Avance]])+P73</f>
        <v>-13761.130000000001</v>
      </c>
    </row>
    <row r="75" spans="2:16" ht="16.5" customHeight="1" x14ac:dyDescent="0.45">
      <c r="B75" s="72">
        <v>45804</v>
      </c>
      <c r="C75" s="73"/>
      <c r="D75" s="73"/>
      <c r="E75" s="73"/>
      <c r="F75" s="73"/>
      <c r="G75" s="73" t="s">
        <v>938</v>
      </c>
      <c r="H75" s="74"/>
      <c r="I75" s="74"/>
      <c r="J75" s="74"/>
      <c r="K75" s="74"/>
      <c r="L75" s="74"/>
      <c r="M75" s="74"/>
      <c r="N75" s="74">
        <v>-450</v>
      </c>
      <c r="O75" s="74"/>
      <c r="P75" s="26">
        <f>SUM(Table134732[[#This Row],[Valor de la Factura del Cliente]:[Avance]])+P74</f>
        <v>-14211.130000000001</v>
      </c>
    </row>
    <row r="76" spans="2:16" ht="16.5" customHeight="1" x14ac:dyDescent="0.45">
      <c r="B76" s="72">
        <v>45804</v>
      </c>
      <c r="C76" s="73"/>
      <c r="D76" s="73"/>
      <c r="E76" s="73"/>
      <c r="F76" s="73"/>
      <c r="G76" s="73" t="s">
        <v>953</v>
      </c>
      <c r="H76" s="74">
        <v>400</v>
      </c>
      <c r="I76" s="74"/>
      <c r="J76" s="74"/>
      <c r="K76" s="74"/>
      <c r="L76" s="74"/>
      <c r="M76" s="74"/>
      <c r="N76" s="74">
        <v>0</v>
      </c>
      <c r="O76" s="74"/>
      <c r="P76" s="26">
        <f>SUM(Table134732[[#This Row],[Valor de la Factura del Cliente]:[Avance]])+P75</f>
        <v>-13811.130000000001</v>
      </c>
    </row>
    <row r="77" spans="2:16" ht="16.5" customHeight="1" x14ac:dyDescent="0.45">
      <c r="B77" s="72">
        <v>45828</v>
      </c>
      <c r="C77" s="73"/>
      <c r="D77" s="73"/>
      <c r="E77" s="73"/>
      <c r="F77" s="73"/>
      <c r="G77" s="73" t="s">
        <v>954</v>
      </c>
      <c r="H77" s="74"/>
      <c r="I77" s="74"/>
      <c r="J77" s="74"/>
      <c r="K77" s="74"/>
      <c r="L77" s="74"/>
      <c r="M77" s="74"/>
      <c r="N77" s="74">
        <v>-250</v>
      </c>
      <c r="O77" s="74"/>
      <c r="P77" s="26">
        <f>SUM(Table134732[[#This Row],[Valor de la Factura del Cliente]:[Avance]])+P76</f>
        <v>-14061.130000000001</v>
      </c>
    </row>
    <row r="78" spans="2:16" ht="16.5" customHeight="1" x14ac:dyDescent="0.45">
      <c r="B78" s="72">
        <v>45831</v>
      </c>
      <c r="C78" s="73"/>
      <c r="D78" s="73"/>
      <c r="E78" s="73"/>
      <c r="F78" s="73"/>
      <c r="G78" s="73" t="s">
        <v>938</v>
      </c>
      <c r="H78" s="74"/>
      <c r="I78" s="74"/>
      <c r="J78" s="74"/>
      <c r="K78" s="74"/>
      <c r="L78" s="74"/>
      <c r="M78" s="74"/>
      <c r="N78" s="74">
        <v>-250</v>
      </c>
      <c r="O78" s="74"/>
      <c r="P78" s="26">
        <f>SUM(Table134732[[#This Row],[Valor de la Factura del Cliente]:[Avance]])+P77</f>
        <v>-14311.130000000001</v>
      </c>
    </row>
    <row r="79" spans="2:16" ht="16.5" customHeight="1" thickBot="1" x14ac:dyDescent="0.5">
      <c r="B79" s="72">
        <v>45847</v>
      </c>
      <c r="C79" s="73"/>
      <c r="D79" s="73"/>
      <c r="E79" s="73"/>
      <c r="F79" s="73"/>
      <c r="G79" s="73" t="s">
        <v>955</v>
      </c>
      <c r="H79" s="74"/>
      <c r="I79" s="74"/>
      <c r="J79" s="74"/>
      <c r="K79" s="74"/>
      <c r="L79" s="74"/>
      <c r="M79" s="74"/>
      <c r="N79" s="74">
        <v>-250</v>
      </c>
      <c r="O79" s="74"/>
      <c r="P79" s="26">
        <f>SUM(Table134732[[#This Row],[Valor de la Factura del Cliente]:[Avance]])+P78</f>
        <v>-14561.130000000001</v>
      </c>
    </row>
    <row r="80" spans="2:16" ht="16.5" customHeight="1" thickBot="1" x14ac:dyDescent="0.5">
      <c r="B80" s="22"/>
      <c r="C80" s="23"/>
      <c r="D80" s="23"/>
      <c r="E80" s="23"/>
      <c r="F80" s="23"/>
      <c r="G80" s="34" t="s">
        <v>356</v>
      </c>
      <c r="H80" s="35">
        <f>SUBTOTAL(109,Table134732[Valor de la Factura del Cliente])</f>
        <v>23982</v>
      </c>
      <c r="I80" s="35">
        <f>SUBTOTAL(109,Table134732[Cargos Bancarios])</f>
        <v>0</v>
      </c>
      <c r="J80" s="35"/>
      <c r="K80" s="35">
        <f>SUBTOTAL(109,Table134732[20% Comisión])</f>
        <v>0</v>
      </c>
      <c r="L80" s="35">
        <f>SUBTOTAL(109,Table134732[5% Legal])</f>
        <v>0</v>
      </c>
      <c r="M80" s="35">
        <f>SUBTOTAL(109,Table134732[Retención de Impuestos])</f>
        <v>0</v>
      </c>
      <c r="N80" s="35">
        <f>SUBTOTAL(109,Table134732[Pagado por MVPX])</f>
        <v>-38543.129999999997</v>
      </c>
      <c r="O80" s="35">
        <f>SUBTOTAL(109,Table134732[Avance])</f>
        <v>0</v>
      </c>
      <c r="P80" s="36">
        <f>+P79</f>
        <v>-14561.130000000001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8BAE-18E5-4BFF-BD5C-025807720271}">
  <sheetPr>
    <pageSetUpPr fitToPage="1"/>
  </sheetPr>
  <dimension ref="B1:P28"/>
  <sheetViews>
    <sheetView showGridLines="0" view="pageLayout" topLeftCell="A2" zoomScale="70" zoomScaleNormal="100" zoomScaleSheetLayoutView="70" zoomScalePageLayoutView="70" workbookViewId="0">
      <selection activeCell="A28" sqref="A28:XFD38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711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MIN(Table134731[Fecha])</f>
        <v>45657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MAX(Table134731[Fecha])</f>
        <v>45771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>
        <v>45657</v>
      </c>
      <c r="C9" s="24"/>
      <c r="D9" s="24"/>
      <c r="E9" s="24"/>
      <c r="F9" s="66" t="s">
        <v>911</v>
      </c>
      <c r="G9" s="65" t="s">
        <v>705</v>
      </c>
      <c r="H9" s="25"/>
      <c r="I9" s="25"/>
      <c r="J9" s="25"/>
      <c r="K9" s="25"/>
      <c r="L9" s="25"/>
      <c r="M9" s="25"/>
      <c r="N9" s="25">
        <v>-345</v>
      </c>
      <c r="O9" s="25"/>
      <c r="P9" s="26">
        <f>SUM(Table134731[[#This Row],[Valor de la Factura del Cliente]:[Avance]])</f>
        <v>-345</v>
      </c>
    </row>
    <row r="10" spans="2:16" s="12" customFormat="1" ht="16.5" customHeight="1" x14ac:dyDescent="0.25">
      <c r="B10" s="47">
        <v>45660</v>
      </c>
      <c r="C10" s="27"/>
      <c r="D10" s="27"/>
      <c r="E10" s="27"/>
      <c r="F10" s="27" t="s">
        <v>734</v>
      </c>
      <c r="G10" s="65" t="s">
        <v>914</v>
      </c>
      <c r="H10" s="28"/>
      <c r="I10" s="28"/>
      <c r="J10" s="28"/>
      <c r="K10" s="28"/>
      <c r="L10" s="28"/>
      <c r="M10" s="28"/>
      <c r="N10" s="28">
        <v>-176.29999999999998</v>
      </c>
      <c r="O10" s="28"/>
      <c r="P10" s="26">
        <f>SUM(Table134731[[#This Row],[Valor de la Factura del Cliente]:[Avance]])+P9</f>
        <v>-521.29999999999995</v>
      </c>
    </row>
    <row r="11" spans="2:16" s="12" customFormat="1" ht="16.5" customHeight="1" x14ac:dyDescent="0.25">
      <c r="B11" s="47">
        <v>45676</v>
      </c>
      <c r="C11" s="27"/>
      <c r="D11" s="27"/>
      <c r="E11" s="27"/>
      <c r="F11" s="27" t="s">
        <v>687</v>
      </c>
      <c r="G11" s="65" t="s">
        <v>915</v>
      </c>
      <c r="H11" s="28"/>
      <c r="I11" s="28"/>
      <c r="J11" s="28"/>
      <c r="K11" s="28"/>
      <c r="L11" s="28"/>
      <c r="M11" s="28"/>
      <c r="N11" s="28">
        <v>-143.4</v>
      </c>
      <c r="O11" s="28"/>
      <c r="P11" s="26">
        <f>SUM(Table134731[[#This Row],[Valor de la Factura del Cliente]:[Avance]])+P10</f>
        <v>-664.69999999999993</v>
      </c>
    </row>
    <row r="12" spans="2:16" s="12" customFormat="1" ht="16.5" customHeight="1" x14ac:dyDescent="0.25">
      <c r="B12" s="47">
        <v>45676</v>
      </c>
      <c r="C12" s="27"/>
      <c r="D12" s="27"/>
      <c r="E12" s="27"/>
      <c r="F12" s="27" t="s">
        <v>712</v>
      </c>
      <c r="G12" s="65" t="s">
        <v>916</v>
      </c>
      <c r="H12" s="28"/>
      <c r="I12" s="28"/>
      <c r="J12" s="28"/>
      <c r="K12" s="28"/>
      <c r="L12" s="28"/>
      <c r="M12" s="28"/>
      <c r="N12" s="28">
        <v>-63</v>
      </c>
      <c r="O12" s="28"/>
      <c r="P12" s="26">
        <f>SUM(Table134731[[#This Row],[Valor de la Factura del Cliente]:[Avance]])+P11</f>
        <v>-727.69999999999993</v>
      </c>
    </row>
    <row r="13" spans="2:16" s="12" customFormat="1" ht="16.5" customHeight="1" x14ac:dyDescent="0.25">
      <c r="B13" s="47">
        <v>45686</v>
      </c>
      <c r="C13" s="27"/>
      <c r="D13" s="27"/>
      <c r="E13" s="27"/>
      <c r="F13" s="27" t="s">
        <v>216</v>
      </c>
      <c r="G13" s="65" t="s">
        <v>917</v>
      </c>
      <c r="H13" s="28"/>
      <c r="I13" s="28"/>
      <c r="J13" s="28"/>
      <c r="K13" s="28"/>
      <c r="L13" s="28"/>
      <c r="M13" s="28"/>
      <c r="N13" s="28">
        <v>-57.09</v>
      </c>
      <c r="O13" s="28"/>
      <c r="P13" s="26">
        <f>SUM(Table134731[[#This Row],[Valor de la Factura del Cliente]:[Avance]])+P12</f>
        <v>-784.79</v>
      </c>
    </row>
    <row r="14" spans="2:16" s="12" customFormat="1" ht="16.5" customHeight="1" x14ac:dyDescent="0.25">
      <c r="B14" s="47">
        <v>45679</v>
      </c>
      <c r="C14" s="27"/>
      <c r="D14" s="27"/>
      <c r="E14" s="27"/>
      <c r="F14" s="27" t="s">
        <v>216</v>
      </c>
      <c r="G14" s="65" t="s">
        <v>917</v>
      </c>
      <c r="H14" s="28"/>
      <c r="I14" s="28"/>
      <c r="J14" s="28"/>
      <c r="K14" s="28"/>
      <c r="L14" s="28"/>
      <c r="M14" s="28"/>
      <c r="N14" s="28">
        <v>-100.80333333333334</v>
      </c>
      <c r="O14" s="28"/>
      <c r="P14" s="26">
        <f>SUM(Table134731[[#This Row],[Valor de la Factura del Cliente]:[Avance]])+P13</f>
        <v>-885.59333333333325</v>
      </c>
    </row>
    <row r="15" spans="2:16" s="12" customFormat="1" ht="16.5" customHeight="1" x14ac:dyDescent="0.25">
      <c r="B15" s="47">
        <v>45690</v>
      </c>
      <c r="C15" s="27"/>
      <c r="D15" s="27"/>
      <c r="E15" s="27"/>
      <c r="F15" s="27" t="s">
        <v>740</v>
      </c>
      <c r="G15" s="65" t="s">
        <v>918</v>
      </c>
      <c r="H15" s="28"/>
      <c r="I15" s="28"/>
      <c r="J15" s="28"/>
      <c r="K15" s="28"/>
      <c r="L15" s="28"/>
      <c r="M15" s="28"/>
      <c r="N15" s="28">
        <v>-82.25</v>
      </c>
      <c r="O15" s="28"/>
      <c r="P15" s="26">
        <f>SUM(Table134731[[#This Row],[Valor de la Factura del Cliente]:[Avance]])+P14</f>
        <v>-967.84333333333325</v>
      </c>
    </row>
    <row r="16" spans="2:16" s="12" customFormat="1" ht="16.5" customHeight="1" x14ac:dyDescent="0.25">
      <c r="B16" s="47">
        <v>45690</v>
      </c>
      <c r="C16" s="27"/>
      <c r="D16" s="27"/>
      <c r="E16" s="27"/>
      <c r="F16" s="27" t="s">
        <v>740</v>
      </c>
      <c r="G16" s="65" t="s">
        <v>918</v>
      </c>
      <c r="H16" s="28"/>
      <c r="I16" s="28"/>
      <c r="J16" s="28"/>
      <c r="K16" s="28"/>
      <c r="L16" s="28"/>
      <c r="M16" s="28"/>
      <c r="N16" s="28">
        <v>-113.09</v>
      </c>
      <c r="O16" s="28"/>
      <c r="P16" s="26">
        <f>SUM(Table134731[[#This Row],[Valor de la Factura del Cliente]:[Avance]])+P15</f>
        <v>-1080.9333333333332</v>
      </c>
    </row>
    <row r="17" spans="2:16" s="12" customFormat="1" ht="16.5" customHeight="1" x14ac:dyDescent="0.25">
      <c r="B17" s="47">
        <v>45691</v>
      </c>
      <c r="C17" s="27"/>
      <c r="D17" s="27"/>
      <c r="E17" s="27"/>
      <c r="F17" s="27" t="s">
        <v>832</v>
      </c>
      <c r="G17" s="65" t="s">
        <v>918</v>
      </c>
      <c r="H17" s="28"/>
      <c r="I17" s="28"/>
      <c r="J17" s="28"/>
      <c r="K17" s="28"/>
      <c r="L17" s="28"/>
      <c r="M17" s="28"/>
      <c r="N17" s="28">
        <v>-31.02</v>
      </c>
      <c r="O17" s="28"/>
      <c r="P17" s="26">
        <f>SUM(Table134731[[#This Row],[Valor de la Factura del Cliente]:[Avance]])+P16</f>
        <v>-1111.9533333333331</v>
      </c>
    </row>
    <row r="18" spans="2:16" s="12" customFormat="1" ht="16.5" customHeight="1" x14ac:dyDescent="0.25">
      <c r="B18" s="47">
        <v>45692</v>
      </c>
      <c r="C18" s="27"/>
      <c r="D18" s="27"/>
      <c r="E18" s="27"/>
      <c r="F18" s="27" t="s">
        <v>740</v>
      </c>
      <c r="G18" s="65" t="s">
        <v>918</v>
      </c>
      <c r="H18" s="28"/>
      <c r="I18" s="28"/>
      <c r="J18" s="28"/>
      <c r="K18" s="28"/>
      <c r="L18" s="28"/>
      <c r="M18" s="28"/>
      <c r="N18" s="28">
        <v>-62.66</v>
      </c>
      <c r="O18" s="28"/>
      <c r="P18" s="26">
        <f>SUM(Table134731[[#This Row],[Valor de la Factura del Cliente]:[Avance]])+P17</f>
        <v>-1174.6133333333332</v>
      </c>
    </row>
    <row r="19" spans="2:16" s="12" customFormat="1" ht="16.5" customHeight="1" x14ac:dyDescent="0.25">
      <c r="B19" s="47">
        <v>45690</v>
      </c>
      <c r="C19" s="27"/>
      <c r="D19" s="27"/>
      <c r="E19" s="27"/>
      <c r="F19" s="27" t="s">
        <v>912</v>
      </c>
      <c r="G19" s="65" t="s">
        <v>919</v>
      </c>
      <c r="H19" s="28"/>
      <c r="I19" s="28"/>
      <c r="J19" s="28"/>
      <c r="K19" s="28"/>
      <c r="L19" s="28"/>
      <c r="M19" s="28"/>
      <c r="N19" s="28">
        <v>-232.41</v>
      </c>
      <c r="O19" s="28"/>
      <c r="P19" s="26">
        <f>SUM(Table134731[[#This Row],[Valor de la Factura del Cliente]:[Avance]])+P18</f>
        <v>-1407.0233333333333</v>
      </c>
    </row>
    <row r="20" spans="2:16" s="12" customFormat="1" ht="16.5" customHeight="1" x14ac:dyDescent="0.25">
      <c r="B20" s="47">
        <v>45691</v>
      </c>
      <c r="C20" s="27"/>
      <c r="D20" s="27"/>
      <c r="E20" s="27"/>
      <c r="F20" s="27" t="s">
        <v>912</v>
      </c>
      <c r="G20" s="65" t="s">
        <v>920</v>
      </c>
      <c r="H20" s="28"/>
      <c r="I20" s="28"/>
      <c r="J20" s="28"/>
      <c r="K20" s="28"/>
      <c r="L20" s="28"/>
      <c r="M20" s="28"/>
      <c r="N20" s="28">
        <v>-70</v>
      </c>
      <c r="O20" s="28"/>
      <c r="P20" s="26">
        <f>SUM(Table134731[[#This Row],[Valor de la Factura del Cliente]:[Avance]])+P19</f>
        <v>-1477.0233333333333</v>
      </c>
    </row>
    <row r="21" spans="2:16" s="12" customFormat="1" ht="16.5" customHeight="1" x14ac:dyDescent="0.25">
      <c r="B21" s="47">
        <v>45692</v>
      </c>
      <c r="C21" s="27"/>
      <c r="D21" s="27"/>
      <c r="E21" s="27"/>
      <c r="F21" s="27" t="s">
        <v>912</v>
      </c>
      <c r="G21" s="65" t="s">
        <v>919</v>
      </c>
      <c r="H21" s="28"/>
      <c r="I21" s="28"/>
      <c r="J21" s="28"/>
      <c r="K21" s="28"/>
      <c r="L21" s="28"/>
      <c r="M21" s="28"/>
      <c r="N21" s="28">
        <v>-138.1</v>
      </c>
      <c r="O21" s="28"/>
      <c r="P21" s="26">
        <f>SUM(Table134731[[#This Row],[Valor de la Factura del Cliente]:[Avance]])+P20</f>
        <v>-1615.1233333333332</v>
      </c>
    </row>
    <row r="22" spans="2:16" s="12" customFormat="1" ht="16.5" customHeight="1" x14ac:dyDescent="0.25">
      <c r="B22" s="47">
        <v>45704</v>
      </c>
      <c r="C22" s="27"/>
      <c r="D22" s="27"/>
      <c r="E22" s="27"/>
      <c r="F22" s="27" t="s">
        <v>740</v>
      </c>
      <c r="G22" s="65" t="s">
        <v>918</v>
      </c>
      <c r="H22" s="28"/>
      <c r="I22" s="28"/>
      <c r="J22" s="28"/>
      <c r="K22" s="28"/>
      <c r="L22" s="28"/>
      <c r="M22" s="28"/>
      <c r="N22" s="28">
        <v>-127.76</v>
      </c>
      <c r="O22" s="28"/>
      <c r="P22" s="26">
        <f>SUM(Table134731[[#This Row],[Valor de la Factura del Cliente]:[Avance]])+P21</f>
        <v>-1742.8833333333332</v>
      </c>
    </row>
    <row r="23" spans="2:16" s="12" customFormat="1" ht="16.5" customHeight="1" x14ac:dyDescent="0.25">
      <c r="B23" s="47">
        <v>45738</v>
      </c>
      <c r="C23" s="27"/>
      <c r="D23" s="27"/>
      <c r="E23" s="27"/>
      <c r="F23" s="27" t="s">
        <v>912</v>
      </c>
      <c r="G23" s="65" t="s">
        <v>921</v>
      </c>
      <c r="H23" s="28"/>
      <c r="I23" s="28"/>
      <c r="J23" s="28"/>
      <c r="K23" s="28"/>
      <c r="L23" s="28"/>
      <c r="M23" s="28"/>
      <c r="N23" s="28">
        <v>-212</v>
      </c>
      <c r="O23" s="28"/>
      <c r="P23" s="26">
        <f>SUM(Table134731[[#This Row],[Valor de la Factura del Cliente]:[Avance]])+P22</f>
        <v>-1954.8833333333332</v>
      </c>
    </row>
    <row r="24" spans="2:16" s="12" customFormat="1" ht="16.5" customHeight="1" x14ac:dyDescent="0.25">
      <c r="B24" s="47">
        <v>45747</v>
      </c>
      <c r="C24" s="27"/>
      <c r="D24" s="27"/>
      <c r="E24" s="27"/>
      <c r="F24" s="27" t="s">
        <v>913</v>
      </c>
      <c r="G24" s="65" t="s">
        <v>922</v>
      </c>
      <c r="H24" s="28"/>
      <c r="I24" s="28"/>
      <c r="J24" s="28"/>
      <c r="K24" s="28"/>
      <c r="L24" s="28"/>
      <c r="M24" s="28"/>
      <c r="N24" s="28">
        <v>-2350.84</v>
      </c>
      <c r="O24" s="28"/>
      <c r="P24" s="26">
        <f>SUM(Table134731[[#This Row],[Valor de la Factura del Cliente]:[Avance]])+P23</f>
        <v>-4305.7233333333334</v>
      </c>
    </row>
    <row r="25" spans="2:16" s="12" customFormat="1" ht="16.5" customHeight="1" x14ac:dyDescent="0.25">
      <c r="B25" s="47">
        <v>45758</v>
      </c>
      <c r="C25" s="27"/>
      <c r="D25" s="27"/>
      <c r="E25" s="27"/>
      <c r="F25" s="27" t="s">
        <v>734</v>
      </c>
      <c r="G25" s="65" t="s">
        <v>923</v>
      </c>
      <c r="H25" s="28"/>
      <c r="I25" s="28"/>
      <c r="J25" s="28"/>
      <c r="K25" s="28"/>
      <c r="L25" s="28"/>
      <c r="M25" s="28"/>
      <c r="N25" s="28">
        <v>-291.76</v>
      </c>
      <c r="O25" s="28"/>
      <c r="P25" s="26">
        <f>SUM(Table134731[[#This Row],[Valor de la Factura del Cliente]:[Avance]])+P24</f>
        <v>-4597.4833333333336</v>
      </c>
    </row>
    <row r="26" spans="2:16" s="12" customFormat="1" ht="16.5" customHeight="1" x14ac:dyDescent="0.25">
      <c r="B26" s="47">
        <v>45771</v>
      </c>
      <c r="C26" s="27"/>
      <c r="D26" s="27"/>
      <c r="E26" s="27"/>
      <c r="F26" s="27" t="s">
        <v>687</v>
      </c>
      <c r="G26" s="65" t="s">
        <v>924</v>
      </c>
      <c r="H26" s="28"/>
      <c r="I26" s="28"/>
      <c r="J26" s="28"/>
      <c r="K26" s="28"/>
      <c r="L26" s="28"/>
      <c r="M26" s="28"/>
      <c r="N26" s="28">
        <v>-146.1</v>
      </c>
      <c r="O26" s="28"/>
      <c r="P26" s="26">
        <f>SUM(Table134731[[#This Row],[Valor de la Factura del Cliente]:[Avance]])+P25</f>
        <v>-4743.5833333333339</v>
      </c>
    </row>
    <row r="27" spans="2:16" s="12" customFormat="1" ht="16.5" customHeight="1" thickBot="1" x14ac:dyDescent="0.3">
      <c r="B27" s="47">
        <v>45690</v>
      </c>
      <c r="C27" s="27"/>
      <c r="D27" s="27"/>
      <c r="E27" s="27"/>
      <c r="F27" s="27" t="s">
        <v>216</v>
      </c>
      <c r="G27" s="65" t="s">
        <v>925</v>
      </c>
      <c r="H27" s="28"/>
      <c r="I27" s="28"/>
      <c r="J27" s="28"/>
      <c r="K27" s="28"/>
      <c r="L27" s="28"/>
      <c r="M27" s="28"/>
      <c r="N27" s="28">
        <v>-44.77</v>
      </c>
      <c r="O27" s="28"/>
      <c r="P27" s="26">
        <f>SUM(Table134731[[#This Row],[Valor de la Factura del Cliente]:[Avance]])+P26</f>
        <v>-4788.3533333333344</v>
      </c>
    </row>
    <row r="28" spans="2:16" ht="16.5" customHeight="1" thickBot="1" x14ac:dyDescent="0.5">
      <c r="B28" s="22"/>
      <c r="C28" s="23"/>
      <c r="D28" s="23"/>
      <c r="E28" s="23"/>
      <c r="F28" s="23"/>
      <c r="G28" s="34" t="s">
        <v>356</v>
      </c>
      <c r="H28" s="35">
        <f>SUBTOTAL(109,Table134731[Valor de la Factura del Cliente])</f>
        <v>0</v>
      </c>
      <c r="I28" s="35">
        <f>SUBTOTAL(109,Table134731[Cargos Bancarios])</f>
        <v>0</v>
      </c>
      <c r="J28" s="35"/>
      <c r="K28" s="35">
        <f>SUBTOTAL(109,Table134731[20% Comisión])</f>
        <v>0</v>
      </c>
      <c r="L28" s="35">
        <f>SUBTOTAL(109,Table134731[5% Legal])</f>
        <v>0</v>
      </c>
      <c r="M28" s="35">
        <f>SUBTOTAL(109,Table134731[Retención de Impuestos])</f>
        <v>0</v>
      </c>
      <c r="N28" s="35">
        <f>SUBTOTAL(109,Table134731[Pagado por MVPX])</f>
        <v>-4788.3533333333344</v>
      </c>
      <c r="O28" s="35">
        <f>SUBTOTAL(109,Table134731[Avance])</f>
        <v>0</v>
      </c>
      <c r="P28" s="36" t="e">
        <f>+#REF!</f>
        <v>#REF!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3814-B182-4D56-9132-DBED7DA1404B}">
  <sheetPr>
    <pageSetUpPr fitToPage="1"/>
  </sheetPr>
  <dimension ref="B1:P23"/>
  <sheetViews>
    <sheetView showGridLines="0" view="pageLayout" topLeftCell="A2" zoomScale="70" zoomScaleNormal="100" zoomScaleSheetLayoutView="70" zoomScalePageLayoutView="70" workbookViewId="0">
      <selection activeCell="D33" sqref="D33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710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MIN(Table134730[Fecha])</f>
        <v>45676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MAX(Table134730[Fecha])</f>
        <v>45819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>
        <v>45676</v>
      </c>
      <c r="C9" s="24"/>
      <c r="D9" s="24"/>
      <c r="E9" s="24"/>
      <c r="F9" s="66" t="s">
        <v>687</v>
      </c>
      <c r="G9" s="65" t="s">
        <v>903</v>
      </c>
      <c r="H9" s="25"/>
      <c r="I9" s="25"/>
      <c r="J9" s="25"/>
      <c r="K9" s="25"/>
      <c r="L9" s="25"/>
      <c r="M9" s="25"/>
      <c r="N9" s="25">
        <v>173.4</v>
      </c>
      <c r="O9" s="25"/>
      <c r="P9" s="26">
        <f>SUM(Table134730[[#This Row],[Valor de la Factura del Cliente]:[Avance]])</f>
        <v>173.4</v>
      </c>
    </row>
    <row r="10" spans="2:16" s="12" customFormat="1" ht="16.5" customHeight="1" x14ac:dyDescent="0.25">
      <c r="B10" s="47">
        <v>45677</v>
      </c>
      <c r="C10" s="27"/>
      <c r="D10" s="27"/>
      <c r="E10" s="27"/>
      <c r="F10" s="27" t="s">
        <v>712</v>
      </c>
      <c r="G10" s="65" t="s">
        <v>904</v>
      </c>
      <c r="H10" s="28"/>
      <c r="I10" s="28"/>
      <c r="J10" s="28"/>
      <c r="K10" s="28"/>
      <c r="L10" s="28"/>
      <c r="M10" s="28"/>
      <c r="N10" s="28">
        <v>89.76</v>
      </c>
      <c r="O10" s="28"/>
      <c r="P10" s="26">
        <f>SUM(Table134730[[#This Row],[Valor de la Factura del Cliente]:[Avance]])+P9</f>
        <v>263.16000000000003</v>
      </c>
    </row>
    <row r="11" spans="2:16" s="12" customFormat="1" ht="16.5" customHeight="1" x14ac:dyDescent="0.25">
      <c r="B11" s="47">
        <v>45697</v>
      </c>
      <c r="C11" s="27"/>
      <c r="D11" s="27"/>
      <c r="E11" s="27"/>
      <c r="F11" s="27" t="s">
        <v>894</v>
      </c>
      <c r="G11" s="65" t="s">
        <v>873</v>
      </c>
      <c r="H11" s="28">
        <v>0</v>
      </c>
      <c r="I11" s="28"/>
      <c r="J11" s="28"/>
      <c r="K11" s="28"/>
      <c r="L11" s="28"/>
      <c r="M11" s="28"/>
      <c r="N11" s="28">
        <v>82.25</v>
      </c>
      <c r="O11" s="28"/>
      <c r="P11" s="26">
        <f>SUM(Table134730[[#This Row],[Valor de la Factura del Cliente]:[Avance]])+P10</f>
        <v>345.41</v>
      </c>
    </row>
    <row r="12" spans="2:16" s="12" customFormat="1" ht="16.5" customHeight="1" x14ac:dyDescent="0.25">
      <c r="B12" s="47">
        <v>45703</v>
      </c>
      <c r="C12" s="27"/>
      <c r="D12" s="27"/>
      <c r="E12" s="27"/>
      <c r="F12" s="27" t="s">
        <v>894</v>
      </c>
      <c r="G12" s="65" t="s">
        <v>873</v>
      </c>
      <c r="H12" s="28">
        <v>0</v>
      </c>
      <c r="I12" s="28"/>
      <c r="J12" s="28"/>
      <c r="K12" s="28"/>
      <c r="L12" s="28"/>
      <c r="M12" s="28"/>
      <c r="N12" s="28">
        <v>113.09</v>
      </c>
      <c r="O12" s="28"/>
      <c r="P12" s="26">
        <f>SUM(Table134730[[#This Row],[Valor de la Factura del Cliente]:[Avance]])+P11</f>
        <v>458.5</v>
      </c>
    </row>
    <row r="13" spans="2:16" s="12" customFormat="1" ht="16.5" customHeight="1" x14ac:dyDescent="0.25">
      <c r="B13" s="47">
        <v>45690</v>
      </c>
      <c r="C13" s="27"/>
      <c r="D13" s="27"/>
      <c r="E13" s="27"/>
      <c r="F13" s="27" t="s">
        <v>897</v>
      </c>
      <c r="G13" s="65" t="s">
        <v>905</v>
      </c>
      <c r="H13" s="28">
        <v>0</v>
      </c>
      <c r="I13" s="28"/>
      <c r="J13" s="28"/>
      <c r="K13" s="28"/>
      <c r="L13" s="28"/>
      <c r="M13" s="28"/>
      <c r="N13" s="28">
        <v>232.41</v>
      </c>
      <c r="O13" s="28"/>
      <c r="P13" s="26">
        <f>SUM(Table134730[[#This Row],[Valor de la Factura del Cliente]:[Avance]])+P12</f>
        <v>690.91</v>
      </c>
    </row>
    <row r="14" spans="2:16" s="12" customFormat="1" ht="16.5" customHeight="1" x14ac:dyDescent="0.25">
      <c r="B14" s="47">
        <v>45690</v>
      </c>
      <c r="C14" s="27"/>
      <c r="D14" s="27"/>
      <c r="E14" s="27"/>
      <c r="F14" s="27" t="s">
        <v>897</v>
      </c>
      <c r="G14" s="65" t="s">
        <v>905</v>
      </c>
      <c r="H14" s="28">
        <v>0</v>
      </c>
      <c r="I14" s="28"/>
      <c r="J14" s="28"/>
      <c r="K14" s="28"/>
      <c r="L14" s="28"/>
      <c r="M14" s="28"/>
      <c r="N14" s="28">
        <v>138.1</v>
      </c>
      <c r="O14" s="28"/>
      <c r="P14" s="26">
        <f>SUM(Table134730[[#This Row],[Valor de la Factura del Cliente]:[Avance]])+P13</f>
        <v>829.01</v>
      </c>
    </row>
    <row r="15" spans="2:16" s="12" customFormat="1" ht="16.5" customHeight="1" x14ac:dyDescent="0.25">
      <c r="B15" s="47">
        <v>45691</v>
      </c>
      <c r="C15" s="27"/>
      <c r="D15" s="27"/>
      <c r="E15" s="27"/>
      <c r="F15" s="27" t="s">
        <v>832</v>
      </c>
      <c r="G15" s="65" t="s">
        <v>873</v>
      </c>
      <c r="H15" s="28">
        <v>0</v>
      </c>
      <c r="I15" s="28"/>
      <c r="J15" s="28"/>
      <c r="K15" s="28"/>
      <c r="L15" s="28"/>
      <c r="M15" s="28"/>
      <c r="N15" s="28">
        <v>31.02</v>
      </c>
      <c r="O15" s="28"/>
      <c r="P15" s="26">
        <f>SUM(Table134730[[#This Row],[Valor de la Factura del Cliente]:[Avance]])+P14</f>
        <v>860.03</v>
      </c>
    </row>
    <row r="16" spans="2:16" s="12" customFormat="1" ht="16.5" customHeight="1" x14ac:dyDescent="0.25">
      <c r="B16" s="47">
        <v>45692</v>
      </c>
      <c r="C16" s="27"/>
      <c r="D16" s="27"/>
      <c r="E16" s="27"/>
      <c r="F16" s="27" t="s">
        <v>894</v>
      </c>
      <c r="G16" s="65" t="s">
        <v>873</v>
      </c>
      <c r="H16" s="28">
        <v>0</v>
      </c>
      <c r="I16" s="28"/>
      <c r="J16" s="28"/>
      <c r="K16" s="28"/>
      <c r="L16" s="28"/>
      <c r="M16" s="28"/>
      <c r="N16" s="28">
        <v>62.66</v>
      </c>
      <c r="O16" s="28"/>
      <c r="P16" s="26">
        <f>SUM(Table134730[[#This Row],[Valor de la Factura del Cliente]:[Avance]])+P15</f>
        <v>922.68999999999994</v>
      </c>
    </row>
    <row r="17" spans="2:16" s="12" customFormat="1" ht="16.5" customHeight="1" x14ac:dyDescent="0.25">
      <c r="B17" s="47">
        <v>45708</v>
      </c>
      <c r="C17" s="27"/>
      <c r="D17" s="27"/>
      <c r="E17" s="27"/>
      <c r="F17" s="27" t="s">
        <v>895</v>
      </c>
      <c r="G17" s="65" t="s">
        <v>874</v>
      </c>
      <c r="H17" s="28"/>
      <c r="I17" s="28"/>
      <c r="J17" s="28"/>
      <c r="K17" s="28"/>
      <c r="L17" s="28"/>
      <c r="M17" s="28"/>
      <c r="N17" s="28">
        <v>150.99</v>
      </c>
      <c r="O17" s="28"/>
      <c r="P17" s="26">
        <f>SUM(Table134730[[#This Row],[Valor de la Factura del Cliente]:[Avance]])+P16</f>
        <v>1073.6799999999998</v>
      </c>
    </row>
    <row r="18" spans="2:16" s="12" customFormat="1" ht="16.5" customHeight="1" x14ac:dyDescent="0.25">
      <c r="B18" s="47">
        <v>45723</v>
      </c>
      <c r="C18" s="27"/>
      <c r="D18" s="27"/>
      <c r="E18" s="27"/>
      <c r="F18" s="27" t="s">
        <v>898</v>
      </c>
      <c r="G18" s="65" t="s">
        <v>906</v>
      </c>
      <c r="H18" s="28">
        <v>-250</v>
      </c>
      <c r="I18" s="28"/>
      <c r="J18" s="28"/>
      <c r="K18" s="28"/>
      <c r="L18" s="28"/>
      <c r="M18" s="28"/>
      <c r="N18" s="28">
        <v>0</v>
      </c>
      <c r="O18" s="28"/>
      <c r="P18" s="26">
        <f>SUM(Table134730[[#This Row],[Valor de la Factura del Cliente]:[Avance]])+P17</f>
        <v>823.67999999999984</v>
      </c>
    </row>
    <row r="19" spans="2:16" s="12" customFormat="1" ht="16.5" customHeight="1" x14ac:dyDescent="0.25">
      <c r="B19" s="47">
        <v>45733</v>
      </c>
      <c r="C19" s="27"/>
      <c r="D19" s="27"/>
      <c r="E19" s="27"/>
      <c r="F19" s="27" t="s">
        <v>899</v>
      </c>
      <c r="G19" s="65" t="s">
        <v>907</v>
      </c>
      <c r="H19" s="28">
        <v>-828.33333333333303</v>
      </c>
      <c r="I19" s="28"/>
      <c r="J19" s="28"/>
      <c r="K19" s="28"/>
      <c r="L19" s="28"/>
      <c r="M19" s="28"/>
      <c r="N19" s="28">
        <v>0</v>
      </c>
      <c r="O19" s="28"/>
      <c r="P19" s="26">
        <f>SUM(Table134730[[#This Row],[Valor de la Factura del Cliente]:[Avance]])+P18</f>
        <v>-4.6533333333331939</v>
      </c>
    </row>
    <row r="20" spans="2:16" s="12" customFormat="1" ht="16.5" customHeight="1" x14ac:dyDescent="0.25">
      <c r="B20" s="47">
        <v>45751</v>
      </c>
      <c r="C20" s="27"/>
      <c r="D20" s="27"/>
      <c r="E20" s="27"/>
      <c r="F20" s="27" t="s">
        <v>900</v>
      </c>
      <c r="G20" s="65" t="s">
        <v>908</v>
      </c>
      <c r="H20" s="28">
        <v>0</v>
      </c>
      <c r="I20" s="28"/>
      <c r="J20" s="28"/>
      <c r="K20" s="28"/>
      <c r="L20" s="28"/>
      <c r="M20" s="28"/>
      <c r="N20" s="28">
        <v>474.1</v>
      </c>
      <c r="O20" s="28"/>
      <c r="P20" s="26">
        <f>SUM(Table134730[[#This Row],[Valor de la Factura del Cliente]:[Avance]])+P19</f>
        <v>469.44666666666683</v>
      </c>
    </row>
    <row r="21" spans="2:16" s="12" customFormat="1" ht="16.5" customHeight="1" x14ac:dyDescent="0.25">
      <c r="B21" s="47">
        <v>45760</v>
      </c>
      <c r="C21" s="27"/>
      <c r="D21" s="27"/>
      <c r="E21" s="27"/>
      <c r="F21" s="27" t="s">
        <v>901</v>
      </c>
      <c r="G21" s="65" t="s">
        <v>909</v>
      </c>
      <c r="H21" s="28"/>
      <c r="I21" s="28"/>
      <c r="J21" s="28"/>
      <c r="K21" s="28"/>
      <c r="L21" s="28"/>
      <c r="M21" s="28"/>
      <c r="N21" s="28">
        <v>132.01499999999999</v>
      </c>
      <c r="O21" s="28"/>
      <c r="P21" s="26">
        <f>SUM(Table134730[[#This Row],[Valor de la Factura del Cliente]:[Avance]])+P20</f>
        <v>601.46166666666682</v>
      </c>
    </row>
    <row r="22" spans="2:16" s="12" customFormat="1" ht="16.5" customHeight="1" thickBot="1" x14ac:dyDescent="0.3">
      <c r="B22" s="47">
        <v>45819</v>
      </c>
      <c r="C22" s="27"/>
      <c r="D22" s="27"/>
      <c r="E22" s="27"/>
      <c r="F22" s="27" t="s">
        <v>902</v>
      </c>
      <c r="G22" s="65" t="s">
        <v>910</v>
      </c>
      <c r="H22" s="28">
        <v>-300</v>
      </c>
      <c r="I22" s="28"/>
      <c r="J22" s="28"/>
      <c r="K22" s="28"/>
      <c r="L22" s="28"/>
      <c r="M22" s="28"/>
      <c r="N22" s="28">
        <v>0</v>
      </c>
      <c r="O22" s="28"/>
      <c r="P22" s="26">
        <f>SUM(Table134730[[#This Row],[Valor de la Factura del Cliente]:[Avance]])+P21</f>
        <v>301.46166666666682</v>
      </c>
    </row>
    <row r="23" spans="2:16" ht="16.5" customHeight="1" thickBot="1" x14ac:dyDescent="0.5">
      <c r="B23" s="22"/>
      <c r="C23" s="23"/>
      <c r="D23" s="23"/>
      <c r="E23" s="23"/>
      <c r="F23" s="23"/>
      <c r="G23" s="34" t="s">
        <v>356</v>
      </c>
      <c r="H23" s="35">
        <f>SUBTOTAL(109,Table134730[Valor de la Factura del Cliente])</f>
        <v>-1378.333333333333</v>
      </c>
      <c r="I23" s="35">
        <f>SUBTOTAL(109,Table134730[Cargos Bancarios])</f>
        <v>0</v>
      </c>
      <c r="J23" s="35"/>
      <c r="K23" s="35">
        <f>SUBTOTAL(109,Table134730[20% Comisión])</f>
        <v>0</v>
      </c>
      <c r="L23" s="35">
        <f>SUBTOTAL(109,Table134730[5% Legal])</f>
        <v>0</v>
      </c>
      <c r="M23" s="35">
        <f>SUBTOTAL(109,Table134730[Retención de Impuestos])</f>
        <v>0</v>
      </c>
      <c r="N23" s="35">
        <f>SUBTOTAL(109,Table134730[Pagado por MVPX])</f>
        <v>1679.7949999999996</v>
      </c>
      <c r="O23" s="35">
        <f>SUBTOTAL(109,Table134730[Avance])</f>
        <v>0</v>
      </c>
      <c r="P23" s="36" t="e">
        <f>+#REF!</f>
        <v>#REF!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6240-C395-4CFD-B1D4-B8DD0F31122B}">
  <sheetPr>
    <pageSetUpPr fitToPage="1"/>
  </sheetPr>
  <dimension ref="B1:P59"/>
  <sheetViews>
    <sheetView showGridLines="0" view="pageLayout" zoomScale="70" zoomScaleNormal="100" zoomScaleSheetLayoutView="70" zoomScalePageLayoutView="70" workbookViewId="0">
      <selection activeCell="A14" sqref="A14:XFD58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817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MIN(Table134729[Fecha])</f>
        <v>45692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MAX(Table134729[Fecha])</f>
        <v>45708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>
        <v>45697</v>
      </c>
      <c r="C9" s="24"/>
      <c r="D9" s="24"/>
      <c r="E9" s="24"/>
      <c r="F9" s="66" t="s">
        <v>894</v>
      </c>
      <c r="G9" s="65" t="s">
        <v>873</v>
      </c>
      <c r="H9" s="25"/>
      <c r="I9" s="25"/>
      <c r="J9" s="25"/>
      <c r="K9" s="25"/>
      <c r="L9" s="25"/>
      <c r="M9" s="25"/>
      <c r="N9" s="25">
        <v>-82.25</v>
      </c>
      <c r="O9" s="25"/>
      <c r="P9" s="26">
        <f>SUM(Table134729[[#This Row],[Valor de la Factura del Cliente]:[Avance]])</f>
        <v>-82.25</v>
      </c>
    </row>
    <row r="10" spans="2:16" s="12" customFormat="1" ht="16.5" customHeight="1" x14ac:dyDescent="0.25">
      <c r="B10" s="47">
        <v>45703</v>
      </c>
      <c r="C10" s="27"/>
      <c r="D10" s="27"/>
      <c r="E10" s="27"/>
      <c r="F10" s="27" t="s">
        <v>894</v>
      </c>
      <c r="G10" s="65" t="s">
        <v>873</v>
      </c>
      <c r="H10" s="28"/>
      <c r="I10" s="28"/>
      <c r="J10" s="28"/>
      <c r="K10" s="28"/>
      <c r="L10" s="28"/>
      <c r="M10" s="28"/>
      <c r="N10" s="28">
        <v>-113.09</v>
      </c>
      <c r="O10" s="28"/>
      <c r="P10" s="26">
        <f>SUM(Table134729[[#This Row],[Valor de la Factura del Cliente]:[Avance]])+P9</f>
        <v>-195.34</v>
      </c>
    </row>
    <row r="11" spans="2:16" s="12" customFormat="1" ht="16.5" customHeight="1" x14ac:dyDescent="0.25">
      <c r="B11" s="47">
        <v>45692</v>
      </c>
      <c r="C11" s="27"/>
      <c r="D11" s="27"/>
      <c r="E11" s="27"/>
      <c r="F11" s="27" t="s">
        <v>894</v>
      </c>
      <c r="G11" s="65" t="s">
        <v>873</v>
      </c>
      <c r="H11" s="28"/>
      <c r="I11" s="28"/>
      <c r="J11" s="28"/>
      <c r="K11" s="28"/>
      <c r="L11" s="28"/>
      <c r="M11" s="28"/>
      <c r="N11" s="28">
        <v>-62.66</v>
      </c>
      <c r="O11" s="28"/>
      <c r="P11" s="26">
        <f>SUM(Table134729[[#This Row],[Valor de la Factura del Cliente]:[Avance]])+P10</f>
        <v>-258</v>
      </c>
    </row>
    <row r="12" spans="2:16" s="12" customFormat="1" ht="16.5" customHeight="1" x14ac:dyDescent="0.25">
      <c r="B12" s="47">
        <v>45704</v>
      </c>
      <c r="C12" s="27"/>
      <c r="D12" s="27"/>
      <c r="E12" s="27"/>
      <c r="F12" s="27" t="s">
        <v>894</v>
      </c>
      <c r="G12" s="65" t="s">
        <v>873</v>
      </c>
      <c r="H12" s="28"/>
      <c r="I12" s="28"/>
      <c r="J12" s="28"/>
      <c r="K12" s="28"/>
      <c r="L12" s="28"/>
      <c r="M12" s="28"/>
      <c r="N12" s="28">
        <v>-127.762</v>
      </c>
      <c r="O12" s="28"/>
      <c r="P12" s="26">
        <f>SUM(Table134729[[#This Row],[Valor de la Factura del Cliente]:[Avance]])+P11</f>
        <v>-385.762</v>
      </c>
    </row>
    <row r="13" spans="2:16" s="12" customFormat="1" ht="16.5" customHeight="1" thickBot="1" x14ac:dyDescent="0.3">
      <c r="B13" s="47">
        <v>45708</v>
      </c>
      <c r="C13" s="27"/>
      <c r="D13" s="27"/>
      <c r="E13" s="27"/>
      <c r="F13" s="27" t="s">
        <v>895</v>
      </c>
      <c r="G13" s="65" t="s">
        <v>896</v>
      </c>
      <c r="H13" s="28"/>
      <c r="I13" s="28"/>
      <c r="J13" s="28"/>
      <c r="K13" s="28"/>
      <c r="L13" s="28"/>
      <c r="M13" s="28"/>
      <c r="N13" s="28">
        <v>-150.99</v>
      </c>
      <c r="O13" s="28"/>
      <c r="P13" s="26">
        <f>SUM(Table134729[[#This Row],[Valor de la Factura del Cliente]:[Avance]])+P12</f>
        <v>-536.75199999999995</v>
      </c>
    </row>
    <row r="14" spans="2:16" ht="16.5" customHeight="1" thickBot="1" x14ac:dyDescent="0.5">
      <c r="B14" s="22"/>
      <c r="C14" s="23"/>
      <c r="D14" s="23"/>
      <c r="E14" s="23"/>
      <c r="F14" s="23"/>
      <c r="G14" s="34" t="s">
        <v>356</v>
      </c>
      <c r="H14" s="35">
        <f>SUBTOTAL(109,Table134729[Valor de la Factura del Cliente])</f>
        <v>0</v>
      </c>
      <c r="I14" s="35">
        <f>SUBTOTAL(109,Table134729[Cargos Bancarios])</f>
        <v>0</v>
      </c>
      <c r="J14" s="35"/>
      <c r="K14" s="35">
        <f>SUBTOTAL(109,Table134729[20% Comisión])</f>
        <v>0</v>
      </c>
      <c r="L14" s="35">
        <f>SUBTOTAL(109,Table134729[5% Legal])</f>
        <v>0</v>
      </c>
      <c r="M14" s="35">
        <f>SUBTOTAL(109,Table134729[Retención de Impuestos])</f>
        <v>0</v>
      </c>
      <c r="N14" s="35">
        <f>SUBTOTAL(109,Table134729[Pagado por MVPX])</f>
        <v>-536.75199999999995</v>
      </c>
      <c r="O14" s="35">
        <f>SUBTOTAL(109,Table134729[Avance])</f>
        <v>0</v>
      </c>
      <c r="P14" s="36" t="e">
        <f>+#REF!</f>
        <v>#REF!</v>
      </c>
    </row>
    <row r="17" s="8" customFormat="1" ht="16.5" customHeight="1" x14ac:dyDescent="0.45"/>
    <row r="18" s="8" customFormat="1" ht="16.5" customHeight="1" x14ac:dyDescent="0.45"/>
    <row r="19" s="8" customFormat="1" ht="16.5" customHeight="1" x14ac:dyDescent="0.45"/>
    <row r="20" s="8" customFormat="1" ht="16.5" customHeight="1" x14ac:dyDescent="0.45"/>
    <row r="21" s="8" customFormat="1" ht="16.5" customHeight="1" x14ac:dyDescent="0.45"/>
    <row r="22" s="8" customFormat="1" ht="16.5" customHeight="1" x14ac:dyDescent="0.45"/>
    <row r="23" s="8" customFormat="1" ht="16.5" customHeight="1" x14ac:dyDescent="0.45"/>
    <row r="24" s="8" customFormat="1" ht="16.5" customHeight="1" x14ac:dyDescent="0.45"/>
    <row r="25" s="8" customFormat="1" ht="16.5" customHeight="1" x14ac:dyDescent="0.45"/>
    <row r="26" s="8" customFormat="1" ht="16.5" customHeight="1" x14ac:dyDescent="0.45"/>
    <row r="27" s="8" customFormat="1" ht="16.5" customHeight="1" x14ac:dyDescent="0.45"/>
    <row r="28" s="8" customFormat="1" ht="16.5" customHeight="1" x14ac:dyDescent="0.45"/>
    <row r="29" s="8" customFormat="1" ht="16.5" customHeight="1" x14ac:dyDescent="0.45"/>
    <row r="30" s="8" customFormat="1" ht="16.5" customHeight="1" x14ac:dyDescent="0.45"/>
    <row r="31" s="8" customFormat="1" ht="16.5" customHeight="1" x14ac:dyDescent="0.45"/>
    <row r="32" s="8" customFormat="1" ht="16.5" customHeight="1" x14ac:dyDescent="0.45"/>
    <row r="33" s="8" customFormat="1" ht="16.5" customHeight="1" x14ac:dyDescent="0.45"/>
    <row r="34" s="8" customFormat="1" ht="16.5" customHeight="1" x14ac:dyDescent="0.45"/>
    <row r="35" s="8" customFormat="1" ht="16.5" customHeight="1" x14ac:dyDescent="0.45"/>
    <row r="36" s="8" customFormat="1" ht="16.5" customHeight="1" x14ac:dyDescent="0.45"/>
    <row r="37" s="8" customFormat="1" ht="16.5" customHeight="1" x14ac:dyDescent="0.45"/>
    <row r="38" s="8" customFormat="1" ht="16.5" customHeight="1" x14ac:dyDescent="0.45"/>
    <row r="39" s="8" customFormat="1" ht="16.5" customHeight="1" x14ac:dyDescent="0.45"/>
    <row r="40" s="8" customFormat="1" ht="16.5" customHeight="1" x14ac:dyDescent="0.45"/>
    <row r="41" s="8" customFormat="1" ht="16.5" customHeight="1" x14ac:dyDescent="0.45"/>
    <row r="42" s="8" customFormat="1" ht="16.5" customHeight="1" x14ac:dyDescent="0.45"/>
    <row r="43" s="8" customFormat="1" ht="16.5" customHeight="1" x14ac:dyDescent="0.45"/>
    <row r="44" s="8" customFormat="1" ht="16.5" customHeight="1" x14ac:dyDescent="0.45"/>
    <row r="45" s="8" customFormat="1" ht="16.5" customHeight="1" x14ac:dyDescent="0.45"/>
    <row r="46" s="8" customFormat="1" ht="16.5" customHeight="1" x14ac:dyDescent="0.45"/>
    <row r="47" s="8" customFormat="1" ht="16.5" customHeight="1" x14ac:dyDescent="0.45"/>
    <row r="48" s="8" customFormat="1" ht="16.5" customHeight="1" x14ac:dyDescent="0.45"/>
    <row r="49" s="8" customFormat="1" ht="16.5" customHeight="1" x14ac:dyDescent="0.45"/>
    <row r="50" s="8" customFormat="1" ht="16.5" customHeight="1" x14ac:dyDescent="0.45"/>
    <row r="51" s="8" customFormat="1" ht="16.5" customHeight="1" x14ac:dyDescent="0.45"/>
    <row r="52" s="8" customFormat="1" ht="16.5" customHeight="1" x14ac:dyDescent="0.45"/>
    <row r="53" s="8" customFormat="1" ht="16.5" customHeight="1" x14ac:dyDescent="0.45"/>
    <row r="54" s="8" customFormat="1" ht="16.5" customHeight="1" x14ac:dyDescent="0.45"/>
    <row r="55" s="8" customFormat="1" ht="16.5" customHeight="1" x14ac:dyDescent="0.45"/>
    <row r="56" s="8" customFormat="1" ht="16.5" customHeight="1" x14ac:dyDescent="0.45"/>
    <row r="57" s="8" customFormat="1" ht="16.5" customHeight="1" x14ac:dyDescent="0.45"/>
    <row r="58" s="8" customFormat="1" ht="16.5" customHeight="1" x14ac:dyDescent="0.45"/>
    <row r="59" s="8" customFormat="1" ht="16.5" customHeight="1" x14ac:dyDescent="0.45"/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0BCB-7C4F-4771-B061-015CFBE49589}">
  <sheetPr>
    <pageSetUpPr fitToPage="1"/>
  </sheetPr>
  <dimension ref="B1:P19"/>
  <sheetViews>
    <sheetView showGridLines="0" view="pageLayout" zoomScale="70" zoomScaleNormal="100" zoomScaleSheetLayoutView="70" zoomScalePageLayoutView="70" workbookViewId="0">
      <selection activeCell="A19" sqref="A19:XFD58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50"/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71" t="s">
        <v>17</v>
      </c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MIN(Table134727[Fecha])</f>
        <v>45462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MAX(Table134727[Fecha])</f>
        <v>45749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>
        <v>45462</v>
      </c>
      <c r="C9" s="24"/>
      <c r="D9" s="24"/>
      <c r="E9" s="24"/>
      <c r="F9" s="66"/>
      <c r="G9" s="65" t="s">
        <v>890</v>
      </c>
      <c r="H9" s="25"/>
      <c r="I9" s="25"/>
      <c r="J9" s="25"/>
      <c r="K9" s="25"/>
      <c r="L9" s="25"/>
      <c r="M9" s="25"/>
      <c r="N9" s="25"/>
      <c r="O9" s="25">
        <v>-20</v>
      </c>
      <c r="P9" s="26">
        <f>SUM(Table134727[[#This Row],[Valor de la Factura del Cliente]:[Avance]])</f>
        <v>-20</v>
      </c>
    </row>
    <row r="10" spans="2:16" s="12" customFormat="1" ht="16.5" customHeight="1" x14ac:dyDescent="0.25">
      <c r="B10" s="47">
        <v>45676</v>
      </c>
      <c r="C10" s="27"/>
      <c r="D10" s="27"/>
      <c r="E10" s="27"/>
      <c r="F10" s="27" t="s">
        <v>158</v>
      </c>
      <c r="G10" s="65" t="s">
        <v>891</v>
      </c>
      <c r="H10" s="28"/>
      <c r="I10" s="28"/>
      <c r="J10" s="28"/>
      <c r="K10" s="28"/>
      <c r="L10" s="28"/>
      <c r="M10" s="28"/>
      <c r="N10" s="28"/>
      <c r="O10" s="28">
        <v>-143.4</v>
      </c>
      <c r="P10" s="26">
        <f>SUM(Table134727[[#This Row],[Valor de la Factura del Cliente]:[Avance]])+P9</f>
        <v>-163.4</v>
      </c>
    </row>
    <row r="11" spans="2:16" s="12" customFormat="1" ht="16.5" customHeight="1" x14ac:dyDescent="0.25">
      <c r="B11" s="47">
        <v>45690</v>
      </c>
      <c r="C11" s="27"/>
      <c r="D11" s="27"/>
      <c r="E11" s="27"/>
      <c r="F11" s="27" t="s">
        <v>889</v>
      </c>
      <c r="G11" s="65" t="s">
        <v>892</v>
      </c>
      <c r="H11" s="28"/>
      <c r="I11" s="28"/>
      <c r="J11" s="28"/>
      <c r="K11" s="28"/>
      <c r="L11" s="28"/>
      <c r="M11" s="28"/>
      <c r="N11" s="28"/>
      <c r="O11" s="28">
        <v>-138.1</v>
      </c>
      <c r="P11" s="26">
        <f>SUM(Table134727[[#This Row],[Valor de la Factura del Cliente]:[Avance]])+P10</f>
        <v>-301.5</v>
      </c>
    </row>
    <row r="12" spans="2:16" s="12" customFormat="1" ht="16.5" customHeight="1" x14ac:dyDescent="0.25">
      <c r="B12" s="47">
        <v>45690</v>
      </c>
      <c r="C12" s="27"/>
      <c r="D12" s="27"/>
      <c r="E12" s="27"/>
      <c r="F12" s="27" t="s">
        <v>889</v>
      </c>
      <c r="G12" s="65" t="s">
        <v>892</v>
      </c>
      <c r="H12" s="28"/>
      <c r="I12" s="28"/>
      <c r="J12" s="28"/>
      <c r="K12" s="28"/>
      <c r="L12" s="28"/>
      <c r="M12" s="28"/>
      <c r="N12" s="28"/>
      <c r="O12" s="28">
        <v>-232.41</v>
      </c>
      <c r="P12" s="26">
        <f>SUM(Table134727[[#This Row],[Valor de la Factura del Cliente]:[Avance]])+P11</f>
        <v>-533.91</v>
      </c>
    </row>
    <row r="13" spans="2:16" s="12" customFormat="1" ht="16.5" customHeight="1" x14ac:dyDescent="0.25">
      <c r="B13" s="47">
        <v>45690</v>
      </c>
      <c r="C13" s="27"/>
      <c r="D13" s="27"/>
      <c r="E13" s="27"/>
      <c r="F13" s="27" t="s">
        <v>889</v>
      </c>
      <c r="G13" s="65" t="s">
        <v>892</v>
      </c>
      <c r="H13" s="28"/>
      <c r="I13" s="28"/>
      <c r="J13" s="28"/>
      <c r="K13" s="28"/>
      <c r="L13" s="28"/>
      <c r="M13" s="28"/>
      <c r="N13" s="28"/>
      <c r="O13" s="28">
        <v>-35</v>
      </c>
      <c r="P13" s="26">
        <f>SUM(Table134727[[#This Row],[Valor de la Factura del Cliente]:[Avance]])+P12</f>
        <v>-568.91</v>
      </c>
    </row>
    <row r="14" spans="2:16" s="12" customFormat="1" ht="16.5" customHeight="1" x14ac:dyDescent="0.25">
      <c r="B14" s="47">
        <v>45691</v>
      </c>
      <c r="C14" s="27"/>
      <c r="D14" s="27"/>
      <c r="E14" s="27"/>
      <c r="F14" s="27" t="s">
        <v>740</v>
      </c>
      <c r="G14" s="65" t="s">
        <v>893</v>
      </c>
      <c r="H14" s="28"/>
      <c r="I14" s="28"/>
      <c r="J14" s="28"/>
      <c r="K14" s="28"/>
      <c r="L14" s="28"/>
      <c r="M14" s="28"/>
      <c r="N14" s="28"/>
      <c r="O14" s="28">
        <v>-62.66</v>
      </c>
      <c r="P14" s="26">
        <f>SUM(Table134727[[#This Row],[Valor de la Factura del Cliente]:[Avance]])+P13</f>
        <v>-631.56999999999994</v>
      </c>
    </row>
    <row r="15" spans="2:16" s="12" customFormat="1" ht="16.5" customHeight="1" x14ac:dyDescent="0.25">
      <c r="B15" s="47">
        <v>45692</v>
      </c>
      <c r="C15" s="27"/>
      <c r="D15" s="27"/>
      <c r="E15" s="27"/>
      <c r="F15" s="27" t="s">
        <v>832</v>
      </c>
      <c r="G15" s="65" t="s">
        <v>893</v>
      </c>
      <c r="H15" s="28"/>
      <c r="I15" s="28"/>
      <c r="J15" s="28"/>
      <c r="K15" s="28"/>
      <c r="L15" s="28"/>
      <c r="M15" s="28"/>
      <c r="N15" s="28"/>
      <c r="O15" s="28">
        <v>-31.02</v>
      </c>
      <c r="P15" s="26">
        <f>SUM(Table134727[[#This Row],[Valor de la Factura del Cliente]:[Avance]])+P14</f>
        <v>-662.58999999999992</v>
      </c>
    </row>
    <row r="16" spans="2:16" s="12" customFormat="1" ht="16.5" customHeight="1" x14ac:dyDescent="0.25">
      <c r="B16" s="47">
        <v>45697</v>
      </c>
      <c r="C16" s="27"/>
      <c r="D16" s="27"/>
      <c r="E16" s="27"/>
      <c r="F16" s="27" t="s">
        <v>740</v>
      </c>
      <c r="G16" s="65" t="s">
        <v>893</v>
      </c>
      <c r="H16" s="28"/>
      <c r="I16" s="28"/>
      <c r="J16" s="28"/>
      <c r="K16" s="28"/>
      <c r="L16" s="28"/>
      <c r="M16" s="28"/>
      <c r="N16" s="28"/>
      <c r="O16" s="28">
        <v>-82.25</v>
      </c>
      <c r="P16" s="26">
        <f>SUM(Table134727[[#This Row],[Valor de la Factura del Cliente]:[Avance]])+P15</f>
        <v>-744.83999999999992</v>
      </c>
    </row>
    <row r="17" spans="2:16" s="12" customFormat="1" ht="16.5" customHeight="1" x14ac:dyDescent="0.25">
      <c r="B17" s="47">
        <v>45703</v>
      </c>
      <c r="C17" s="27"/>
      <c r="D17" s="27"/>
      <c r="E17" s="27"/>
      <c r="F17" s="27" t="s">
        <v>740</v>
      </c>
      <c r="G17" s="65" t="s">
        <v>893</v>
      </c>
      <c r="H17" s="28"/>
      <c r="I17" s="28"/>
      <c r="J17" s="28"/>
      <c r="K17" s="28"/>
      <c r="L17" s="28"/>
      <c r="M17" s="28"/>
      <c r="N17" s="28"/>
      <c r="O17" s="28">
        <v>-113.09</v>
      </c>
      <c r="P17" s="26">
        <f>SUM(Table134727[[#This Row],[Valor de la Factura del Cliente]:[Avance]])+P16</f>
        <v>-857.93</v>
      </c>
    </row>
    <row r="18" spans="2:16" s="12" customFormat="1" ht="16.5" customHeight="1" thickBot="1" x14ac:dyDescent="0.3">
      <c r="B18" s="47">
        <v>45749</v>
      </c>
      <c r="C18" s="27"/>
      <c r="D18" s="27"/>
      <c r="E18" s="27"/>
      <c r="F18" s="27"/>
      <c r="G18" s="65"/>
      <c r="H18" s="28"/>
      <c r="I18" s="28"/>
      <c r="J18" s="28"/>
      <c r="K18" s="28"/>
      <c r="L18" s="28"/>
      <c r="M18" s="28"/>
      <c r="N18" s="28"/>
      <c r="O18" s="28">
        <v>-400</v>
      </c>
      <c r="P18" s="26">
        <f>SUM(Table134727[[#This Row],[Valor de la Factura del Cliente]:[Avance]])+P17</f>
        <v>-1257.9299999999998</v>
      </c>
    </row>
    <row r="19" spans="2:16" ht="16.5" customHeight="1" thickBot="1" x14ac:dyDescent="0.5">
      <c r="B19" s="22"/>
      <c r="C19" s="23"/>
      <c r="D19" s="23"/>
      <c r="E19" s="23"/>
      <c r="F19" s="23"/>
      <c r="G19" s="34" t="s">
        <v>356</v>
      </c>
      <c r="H19" s="35">
        <f>SUBTOTAL(109,Table134727[Valor de la Factura del Cliente])</f>
        <v>0</v>
      </c>
      <c r="I19" s="35">
        <f>SUBTOTAL(109,Table134727[Cargos Bancarios])</f>
        <v>0</v>
      </c>
      <c r="J19" s="35"/>
      <c r="K19" s="35">
        <f>SUBTOTAL(109,Table134727[20% Comisión])</f>
        <v>0</v>
      </c>
      <c r="L19" s="35">
        <f>SUBTOTAL(109,Table134727[5% Legal])</f>
        <v>0</v>
      </c>
      <c r="M19" s="35">
        <f>SUBTOTAL(109,Table134727[Retención de Impuestos])</f>
        <v>0</v>
      </c>
      <c r="N19" s="35">
        <f>SUBTOTAL(109,Table134727[Pagado por MVPX])</f>
        <v>0</v>
      </c>
      <c r="O19" s="35">
        <f>SUBTOTAL(109,Table134727[Avance])</f>
        <v>-1257.9299999999998</v>
      </c>
      <c r="P19" s="36" t="e">
        <f>+#REF!</f>
        <v>#REF!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EF41-422F-44E6-ABAC-F62681BD5F4B}">
  <sheetPr>
    <pageSetUpPr fitToPage="1"/>
  </sheetPr>
  <dimension ref="B1:P101"/>
  <sheetViews>
    <sheetView showGridLines="0" view="pageLayout" topLeftCell="A68" zoomScale="70" zoomScaleNormal="100" zoomScaleSheetLayoutView="70" zoomScalePageLayoutView="70" workbookViewId="0">
      <selection activeCell="M25" sqref="M25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8.28515625" style="8" bestFit="1" customWidth="1"/>
    <col min="12" max="12" width="18.7109375" style="8" bestFit="1" customWidth="1"/>
    <col min="13" max="13" width="16.5703125" style="8" customWidth="1"/>
    <col min="14" max="14" width="21.5703125" style="8" bestFit="1" customWidth="1"/>
    <col min="15" max="15" width="18.5703125" style="8" bestFit="1" customWidth="1"/>
    <col min="16" max="16" width="18" style="8" bestFit="1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816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MIN(Table134726[Fecha])</f>
        <v>45237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MAX(Table134726[Fecha])</f>
        <v>45862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>
        <v>45856</v>
      </c>
      <c r="C9" s="24"/>
      <c r="D9" s="24"/>
      <c r="E9" s="24"/>
      <c r="F9" s="66" t="s">
        <v>817</v>
      </c>
      <c r="G9" s="65" t="s">
        <v>840</v>
      </c>
      <c r="H9" s="25">
        <v>0</v>
      </c>
      <c r="I9" s="25">
        <v>0</v>
      </c>
      <c r="J9" s="25"/>
      <c r="K9" s="25">
        <v>0</v>
      </c>
      <c r="L9" s="25">
        <v>0</v>
      </c>
      <c r="M9" s="25"/>
      <c r="N9" s="25">
        <v>0</v>
      </c>
      <c r="O9" s="25">
        <v>-536.75199999999995</v>
      </c>
      <c r="P9" s="26">
        <f>SUM(Table134726[[#This Row],[Cargos Bancarios]:[Avance]])</f>
        <v>-536.75199999999995</v>
      </c>
    </row>
    <row r="10" spans="2:16" s="12" customFormat="1" ht="16.5" customHeight="1" x14ac:dyDescent="0.25">
      <c r="B10" s="47">
        <v>45237</v>
      </c>
      <c r="C10" s="27"/>
      <c r="D10" s="27"/>
      <c r="E10" s="27"/>
      <c r="F10" s="27" t="s">
        <v>64</v>
      </c>
      <c r="G10" s="65" t="s">
        <v>841</v>
      </c>
      <c r="H10" s="28">
        <v>0</v>
      </c>
      <c r="I10" s="28">
        <v>0</v>
      </c>
      <c r="J10" s="28"/>
      <c r="K10" s="28">
        <v>0</v>
      </c>
      <c r="L10" s="28">
        <v>0</v>
      </c>
      <c r="M10" s="28"/>
      <c r="N10" s="28">
        <v>0</v>
      </c>
      <c r="O10" s="28">
        <v>-1000</v>
      </c>
      <c r="P10" s="26">
        <f>SUM(Table134726[[#This Row],[Cargos Bancarios]:[Avance]])+P9</f>
        <v>-1536.752</v>
      </c>
    </row>
    <row r="11" spans="2:16" s="12" customFormat="1" ht="16.5" customHeight="1" x14ac:dyDescent="0.25">
      <c r="B11" s="47">
        <v>45243</v>
      </c>
      <c r="C11" s="27"/>
      <c r="D11" s="27"/>
      <c r="E11" s="27"/>
      <c r="F11" s="27" t="s">
        <v>50</v>
      </c>
      <c r="G11" s="65" t="s">
        <v>841</v>
      </c>
      <c r="H11" s="28">
        <v>0</v>
      </c>
      <c r="I11" s="28">
        <v>0</v>
      </c>
      <c r="J11" s="28"/>
      <c r="K11" s="28">
        <v>0</v>
      </c>
      <c r="L11" s="28">
        <v>0</v>
      </c>
      <c r="M11" s="28"/>
      <c r="N11" s="28">
        <v>0</v>
      </c>
      <c r="O11" s="28">
        <v>-4000</v>
      </c>
      <c r="P11" s="26">
        <f>SUM(Table134726[[#This Row],[Cargos Bancarios]:[Avance]])+P10</f>
        <v>-5536.7520000000004</v>
      </c>
    </row>
    <row r="12" spans="2:16" s="12" customFormat="1" ht="16.5" customHeight="1" x14ac:dyDescent="0.25">
      <c r="B12" s="47">
        <v>45287</v>
      </c>
      <c r="C12" s="27"/>
      <c r="D12" s="27"/>
      <c r="E12" s="27"/>
      <c r="F12" s="27" t="s">
        <v>50</v>
      </c>
      <c r="G12" s="65" t="s">
        <v>841</v>
      </c>
      <c r="H12" s="28">
        <v>0</v>
      </c>
      <c r="I12" s="28">
        <v>0</v>
      </c>
      <c r="J12" s="28"/>
      <c r="K12" s="28">
        <v>0</v>
      </c>
      <c r="L12" s="28">
        <v>0</v>
      </c>
      <c r="M12" s="28"/>
      <c r="N12" s="28">
        <v>0</v>
      </c>
      <c r="O12" s="28">
        <v>-2000</v>
      </c>
      <c r="P12" s="26">
        <f>SUM(Table134726[[#This Row],[Cargos Bancarios]:[Avance]])+P11</f>
        <v>-7536.7520000000004</v>
      </c>
    </row>
    <row r="13" spans="2:16" s="12" customFormat="1" ht="16.5" customHeight="1" x14ac:dyDescent="0.25">
      <c r="B13" s="47">
        <v>45350</v>
      </c>
      <c r="C13" s="27"/>
      <c r="D13" s="27"/>
      <c r="E13" s="27"/>
      <c r="F13" s="27" t="s">
        <v>50</v>
      </c>
      <c r="G13" s="65" t="s">
        <v>841</v>
      </c>
      <c r="H13" s="28">
        <v>0</v>
      </c>
      <c r="I13" s="28">
        <v>0</v>
      </c>
      <c r="J13" s="28"/>
      <c r="K13" s="28">
        <v>0</v>
      </c>
      <c r="L13" s="28">
        <v>0</v>
      </c>
      <c r="M13" s="28"/>
      <c r="N13" s="28">
        <v>0</v>
      </c>
      <c r="O13" s="28">
        <v>-11500</v>
      </c>
      <c r="P13" s="26">
        <f>SUM(Table134726[[#This Row],[Cargos Bancarios]:[Avance]])+P12</f>
        <v>-19036.752</v>
      </c>
    </row>
    <row r="14" spans="2:16" s="12" customFormat="1" ht="16.5" customHeight="1" x14ac:dyDescent="0.25">
      <c r="B14" s="47">
        <v>45369</v>
      </c>
      <c r="C14" s="27"/>
      <c r="D14" s="27"/>
      <c r="E14" s="27"/>
      <c r="F14" s="27" t="s">
        <v>50</v>
      </c>
      <c r="G14" s="65" t="s">
        <v>841</v>
      </c>
      <c r="H14" s="28">
        <v>0</v>
      </c>
      <c r="I14" s="28">
        <v>0</v>
      </c>
      <c r="J14" s="28"/>
      <c r="K14" s="28">
        <v>0</v>
      </c>
      <c r="L14" s="28">
        <v>0</v>
      </c>
      <c r="M14" s="28"/>
      <c r="N14" s="28">
        <v>0</v>
      </c>
      <c r="O14" s="28">
        <v>-1000</v>
      </c>
      <c r="P14" s="26">
        <f>SUM(Table134726[[#This Row],[Cargos Bancarios]:[Avance]])+P13</f>
        <v>-20036.752</v>
      </c>
    </row>
    <row r="15" spans="2:16" s="12" customFormat="1" ht="16.5" customHeight="1" x14ac:dyDescent="0.25">
      <c r="B15" s="47">
        <v>45391</v>
      </c>
      <c r="C15" s="27"/>
      <c r="D15" s="27"/>
      <c r="E15" s="27"/>
      <c r="F15" s="27" t="s">
        <v>50</v>
      </c>
      <c r="G15" s="65" t="s">
        <v>841</v>
      </c>
      <c r="H15" s="28">
        <v>0</v>
      </c>
      <c r="I15" s="28">
        <v>0</v>
      </c>
      <c r="J15" s="28"/>
      <c r="K15" s="28">
        <v>0</v>
      </c>
      <c r="L15" s="28">
        <v>0</v>
      </c>
      <c r="M15" s="28"/>
      <c r="N15" s="28">
        <v>0</v>
      </c>
      <c r="O15" s="28">
        <v>-300</v>
      </c>
      <c r="P15" s="26">
        <f>SUM(Table134726[[#This Row],[Cargos Bancarios]:[Avance]])+P14</f>
        <v>-20336.752</v>
      </c>
    </row>
    <row r="16" spans="2:16" s="12" customFormat="1" ht="16.5" customHeight="1" x14ac:dyDescent="0.25">
      <c r="B16" s="47">
        <v>45401</v>
      </c>
      <c r="C16" s="27"/>
      <c r="D16" s="27"/>
      <c r="E16" s="27"/>
      <c r="F16" s="27" t="s">
        <v>50</v>
      </c>
      <c r="G16" s="65" t="s">
        <v>841</v>
      </c>
      <c r="H16" s="28">
        <v>0</v>
      </c>
      <c r="I16" s="28">
        <v>0</v>
      </c>
      <c r="J16" s="28"/>
      <c r="K16" s="28">
        <v>0</v>
      </c>
      <c r="L16" s="28">
        <v>0</v>
      </c>
      <c r="M16" s="28"/>
      <c r="N16" s="28">
        <v>0</v>
      </c>
      <c r="O16" s="28">
        <v>-200</v>
      </c>
      <c r="P16" s="26">
        <f>SUM(Table134726[[#This Row],[Cargos Bancarios]:[Avance]])+P15</f>
        <v>-20536.752</v>
      </c>
    </row>
    <row r="17" spans="2:16" s="12" customFormat="1" ht="16.5" customHeight="1" x14ac:dyDescent="0.25">
      <c r="B17" s="47">
        <v>45411</v>
      </c>
      <c r="C17" s="27"/>
      <c r="D17" s="27"/>
      <c r="E17" s="27"/>
      <c r="F17" s="27" t="s">
        <v>50</v>
      </c>
      <c r="G17" s="65" t="s">
        <v>841</v>
      </c>
      <c r="H17" s="28">
        <v>0</v>
      </c>
      <c r="I17" s="28">
        <v>0</v>
      </c>
      <c r="J17" s="28"/>
      <c r="K17" s="28">
        <v>0</v>
      </c>
      <c r="L17" s="28">
        <v>0</v>
      </c>
      <c r="M17" s="28"/>
      <c r="N17" s="28">
        <v>0</v>
      </c>
      <c r="O17" s="28">
        <v>-500</v>
      </c>
      <c r="P17" s="26">
        <f>SUM(Table134726[[#This Row],[Cargos Bancarios]:[Avance]])+P16</f>
        <v>-21036.752</v>
      </c>
    </row>
    <row r="18" spans="2:16" s="12" customFormat="1" ht="16.5" customHeight="1" x14ac:dyDescent="0.25">
      <c r="B18" s="47">
        <v>45414</v>
      </c>
      <c r="C18" s="27"/>
      <c r="D18" s="27"/>
      <c r="E18" s="27"/>
      <c r="F18" s="27" t="s">
        <v>818</v>
      </c>
      <c r="G18" s="65" t="s">
        <v>842</v>
      </c>
      <c r="H18" s="28">
        <v>0</v>
      </c>
      <c r="I18" s="28">
        <v>0</v>
      </c>
      <c r="J18" s="28"/>
      <c r="K18" s="28">
        <v>0</v>
      </c>
      <c r="L18" s="28">
        <v>0</v>
      </c>
      <c r="M18" s="28"/>
      <c r="N18" s="28">
        <v>0</v>
      </c>
      <c r="O18" s="28">
        <v>-115.48</v>
      </c>
      <c r="P18" s="26">
        <f>SUM(Table134726[[#This Row],[Cargos Bancarios]:[Avance]])+P17</f>
        <v>-21152.232</v>
      </c>
    </row>
    <row r="19" spans="2:16" s="12" customFormat="1" ht="16.5" customHeight="1" x14ac:dyDescent="0.25">
      <c r="B19" s="47">
        <v>45414</v>
      </c>
      <c r="C19" s="27"/>
      <c r="D19" s="27"/>
      <c r="E19" s="27"/>
      <c r="F19" s="27" t="s">
        <v>819</v>
      </c>
      <c r="G19" s="65" t="s">
        <v>770</v>
      </c>
      <c r="H19" s="28">
        <v>0</v>
      </c>
      <c r="I19" s="28">
        <v>0</v>
      </c>
      <c r="J19" s="28"/>
      <c r="K19" s="28">
        <v>0</v>
      </c>
      <c r="L19" s="28">
        <v>0</v>
      </c>
      <c r="M19" s="28"/>
      <c r="N19" s="28">
        <v>0</v>
      </c>
      <c r="O19" s="28">
        <v>-12.7</v>
      </c>
      <c r="P19" s="26">
        <f>SUM(Table134726[[#This Row],[Cargos Bancarios]:[Avance]])+P18</f>
        <v>-21164.932000000001</v>
      </c>
    </row>
    <row r="20" spans="2:16" s="12" customFormat="1" ht="16.5" customHeight="1" x14ac:dyDescent="0.25">
      <c r="B20" s="47">
        <v>45414</v>
      </c>
      <c r="C20" s="27"/>
      <c r="D20" s="27"/>
      <c r="E20" s="27"/>
      <c r="F20" s="27" t="s">
        <v>681</v>
      </c>
      <c r="G20" s="65" t="s">
        <v>770</v>
      </c>
      <c r="H20" s="28">
        <v>0</v>
      </c>
      <c r="I20" s="28">
        <v>0</v>
      </c>
      <c r="J20" s="28"/>
      <c r="K20" s="28">
        <v>0</v>
      </c>
      <c r="L20" s="28">
        <v>0</v>
      </c>
      <c r="M20" s="28"/>
      <c r="N20" s="28">
        <v>0</v>
      </c>
      <c r="O20" s="28">
        <v>-42.07</v>
      </c>
      <c r="P20" s="26">
        <f>SUM(Table134726[[#This Row],[Cargos Bancarios]:[Avance]])+P19</f>
        <v>-21207.002</v>
      </c>
    </row>
    <row r="21" spans="2:16" s="12" customFormat="1" ht="16.5" customHeight="1" x14ac:dyDescent="0.25">
      <c r="B21" s="47">
        <v>45424</v>
      </c>
      <c r="C21" s="27"/>
      <c r="D21" s="27"/>
      <c r="E21" s="27"/>
      <c r="F21" s="27" t="s">
        <v>820</v>
      </c>
      <c r="G21" s="65" t="s">
        <v>843</v>
      </c>
      <c r="H21" s="28">
        <v>0</v>
      </c>
      <c r="I21" s="28">
        <v>0</v>
      </c>
      <c r="J21" s="28"/>
      <c r="K21" s="28">
        <v>0</v>
      </c>
      <c r="L21" s="28">
        <v>0</v>
      </c>
      <c r="M21" s="28"/>
      <c r="N21" s="28">
        <v>0</v>
      </c>
      <c r="O21" s="28">
        <v>-216.565</v>
      </c>
      <c r="P21" s="26">
        <f>SUM(Table134726[[#This Row],[Cargos Bancarios]:[Avance]])+P20</f>
        <v>-21423.566999999999</v>
      </c>
    </row>
    <row r="22" spans="2:16" s="12" customFormat="1" ht="16.5" customHeight="1" x14ac:dyDescent="0.25">
      <c r="B22" s="47">
        <v>45445</v>
      </c>
      <c r="C22" s="27"/>
      <c r="D22" s="27"/>
      <c r="E22" s="27"/>
      <c r="F22" s="27" t="s">
        <v>820</v>
      </c>
      <c r="G22" s="65" t="s">
        <v>843</v>
      </c>
      <c r="H22" s="28">
        <v>0</v>
      </c>
      <c r="I22" s="28">
        <v>0</v>
      </c>
      <c r="J22" s="28"/>
      <c r="K22" s="28">
        <v>0</v>
      </c>
      <c r="L22" s="28">
        <v>0</v>
      </c>
      <c r="M22" s="28"/>
      <c r="N22" s="28">
        <v>0</v>
      </c>
      <c r="O22" s="28">
        <v>-39.44</v>
      </c>
      <c r="P22" s="26">
        <f>SUM(Table134726[[#This Row],[Cargos Bancarios]:[Avance]])+P21</f>
        <v>-21463.006999999998</v>
      </c>
    </row>
    <row r="23" spans="2:16" s="12" customFormat="1" ht="16.5" customHeight="1" x14ac:dyDescent="0.25">
      <c r="B23" s="47">
        <v>45445</v>
      </c>
      <c r="C23" s="27"/>
      <c r="D23" s="27"/>
      <c r="E23" s="27"/>
      <c r="F23" s="27" t="s">
        <v>821</v>
      </c>
      <c r="G23" s="65" t="s">
        <v>844</v>
      </c>
      <c r="H23" s="28">
        <v>0</v>
      </c>
      <c r="I23" s="28">
        <v>0</v>
      </c>
      <c r="J23" s="28"/>
      <c r="K23" s="28">
        <v>0</v>
      </c>
      <c r="L23" s="28">
        <v>0</v>
      </c>
      <c r="M23" s="28"/>
      <c r="N23" s="28">
        <v>0</v>
      </c>
      <c r="O23" s="28">
        <v>-5685</v>
      </c>
      <c r="P23" s="26">
        <f>SUM(Table134726[[#This Row],[Cargos Bancarios]:[Avance]])+P22</f>
        <v>-27148.006999999998</v>
      </c>
    </row>
    <row r="24" spans="2:16" s="12" customFormat="1" ht="16.5" customHeight="1" x14ac:dyDescent="0.25">
      <c r="B24" s="47">
        <v>45446</v>
      </c>
      <c r="C24" s="27"/>
      <c r="D24" s="27"/>
      <c r="E24" s="27"/>
      <c r="F24" s="27" t="s">
        <v>820</v>
      </c>
      <c r="G24" s="65" t="s">
        <v>843</v>
      </c>
      <c r="H24" s="28">
        <v>0</v>
      </c>
      <c r="I24" s="28">
        <v>0</v>
      </c>
      <c r="J24" s="28"/>
      <c r="K24" s="28">
        <v>0</v>
      </c>
      <c r="L24" s="28">
        <v>0</v>
      </c>
      <c r="M24" s="28"/>
      <c r="N24" s="28">
        <v>0</v>
      </c>
      <c r="O24" s="28">
        <v>-287.11</v>
      </c>
      <c r="P24" s="26">
        <f>SUM(Table134726[[#This Row],[Cargos Bancarios]:[Avance]])+P23</f>
        <v>-27435.116999999998</v>
      </c>
    </row>
    <row r="25" spans="2:16" s="12" customFormat="1" ht="16.5" customHeight="1" x14ac:dyDescent="0.25">
      <c r="B25" s="47">
        <v>45457</v>
      </c>
      <c r="C25" s="27"/>
      <c r="D25" s="27"/>
      <c r="E25" s="27"/>
      <c r="F25" s="27" t="s">
        <v>50</v>
      </c>
      <c r="G25" s="65" t="s">
        <v>841</v>
      </c>
      <c r="H25" s="28">
        <v>0</v>
      </c>
      <c r="I25" s="28">
        <v>0</v>
      </c>
      <c r="J25" s="28"/>
      <c r="K25" s="28">
        <v>0</v>
      </c>
      <c r="L25" s="28">
        <v>0</v>
      </c>
      <c r="M25" s="28"/>
      <c r="N25" s="28">
        <v>0</v>
      </c>
      <c r="O25" s="28">
        <v>-1500</v>
      </c>
      <c r="P25" s="26">
        <f>SUM(Table134726[[#This Row],[Cargos Bancarios]:[Avance]])+P24</f>
        <v>-28935.116999999998</v>
      </c>
    </row>
    <row r="26" spans="2:16" s="12" customFormat="1" ht="16.5" customHeight="1" x14ac:dyDescent="0.25">
      <c r="B26" s="47">
        <v>45463</v>
      </c>
      <c r="C26" s="27"/>
      <c r="D26" s="27"/>
      <c r="E26" s="27"/>
      <c r="F26" s="27" t="s">
        <v>50</v>
      </c>
      <c r="G26" s="65" t="s">
        <v>841</v>
      </c>
      <c r="H26" s="28">
        <v>0</v>
      </c>
      <c r="I26" s="28">
        <v>0</v>
      </c>
      <c r="J26" s="28"/>
      <c r="K26" s="28">
        <v>0</v>
      </c>
      <c r="L26" s="28">
        <v>0</v>
      </c>
      <c r="M26" s="28"/>
      <c r="N26" s="28">
        <v>0</v>
      </c>
      <c r="O26" s="28">
        <v>-1500</v>
      </c>
      <c r="P26" s="26">
        <f>SUM(Table134726[[#This Row],[Cargos Bancarios]:[Avance]])+P25</f>
        <v>-30435.116999999998</v>
      </c>
    </row>
    <row r="27" spans="2:16" s="12" customFormat="1" ht="16.5" customHeight="1" x14ac:dyDescent="0.25">
      <c r="B27" s="47">
        <v>45464</v>
      </c>
      <c r="C27" s="27"/>
      <c r="D27" s="27"/>
      <c r="E27" s="27"/>
      <c r="F27" s="27" t="s">
        <v>682</v>
      </c>
      <c r="G27" s="65" t="s">
        <v>845</v>
      </c>
      <c r="H27" s="28">
        <v>0</v>
      </c>
      <c r="I27" s="28">
        <v>0</v>
      </c>
      <c r="J27" s="28"/>
      <c r="K27" s="28">
        <v>0</v>
      </c>
      <c r="L27" s="28">
        <v>0</v>
      </c>
      <c r="M27" s="28"/>
      <c r="N27" s="28">
        <v>0</v>
      </c>
      <c r="O27" s="28">
        <v>-690</v>
      </c>
      <c r="P27" s="26">
        <f>SUM(Table134726[[#This Row],[Cargos Bancarios]:[Avance]])+P26</f>
        <v>-31125.116999999998</v>
      </c>
    </row>
    <row r="28" spans="2:16" s="12" customFormat="1" ht="16.5" customHeight="1" x14ac:dyDescent="0.25">
      <c r="B28" s="47">
        <v>45471</v>
      </c>
      <c r="C28" s="27"/>
      <c r="D28" s="27"/>
      <c r="E28" s="27"/>
      <c r="F28" s="27" t="s">
        <v>50</v>
      </c>
      <c r="G28" s="65" t="s">
        <v>841</v>
      </c>
      <c r="H28" s="28">
        <v>0</v>
      </c>
      <c r="I28" s="28">
        <v>0</v>
      </c>
      <c r="J28" s="28"/>
      <c r="K28" s="28">
        <v>0</v>
      </c>
      <c r="L28" s="28">
        <v>0</v>
      </c>
      <c r="M28" s="28"/>
      <c r="N28" s="28">
        <v>0</v>
      </c>
      <c r="O28" s="28">
        <v>-1000</v>
      </c>
      <c r="P28" s="26">
        <f>SUM(Table134726[[#This Row],[Cargos Bancarios]:[Avance]])+P27</f>
        <v>-32125.116999999998</v>
      </c>
    </row>
    <row r="29" spans="2:16" s="12" customFormat="1" ht="16.5" customHeight="1" x14ac:dyDescent="0.25">
      <c r="B29" s="47">
        <v>45481</v>
      </c>
      <c r="C29" s="27"/>
      <c r="D29" s="27"/>
      <c r="E29" s="27"/>
      <c r="F29" s="27" t="s">
        <v>50</v>
      </c>
      <c r="G29" s="65" t="s">
        <v>841</v>
      </c>
      <c r="H29" s="28">
        <v>0</v>
      </c>
      <c r="I29" s="28">
        <v>0</v>
      </c>
      <c r="J29" s="28"/>
      <c r="K29" s="28">
        <v>0</v>
      </c>
      <c r="L29" s="28">
        <v>0</v>
      </c>
      <c r="M29" s="28"/>
      <c r="N29" s="28">
        <v>0</v>
      </c>
      <c r="O29" s="28">
        <v>-1500</v>
      </c>
      <c r="P29" s="26">
        <f>SUM(Table134726[[#This Row],[Cargos Bancarios]:[Avance]])+P28</f>
        <v>-33625.116999999998</v>
      </c>
    </row>
    <row r="30" spans="2:16" s="12" customFormat="1" ht="16.5" customHeight="1" x14ac:dyDescent="0.25">
      <c r="B30" s="47">
        <v>45486</v>
      </c>
      <c r="C30" s="27"/>
      <c r="D30" s="27"/>
      <c r="E30" s="27"/>
      <c r="F30" s="27" t="s">
        <v>50</v>
      </c>
      <c r="G30" s="65" t="s">
        <v>841</v>
      </c>
      <c r="H30" s="28">
        <v>0</v>
      </c>
      <c r="I30" s="28">
        <v>0</v>
      </c>
      <c r="J30" s="28"/>
      <c r="K30" s="28">
        <v>0</v>
      </c>
      <c r="L30" s="28">
        <v>0</v>
      </c>
      <c r="M30" s="28"/>
      <c r="N30" s="28">
        <v>0</v>
      </c>
      <c r="O30" s="28">
        <v>-2000</v>
      </c>
      <c r="P30" s="26">
        <f>SUM(Table134726[[#This Row],[Cargos Bancarios]:[Avance]])+P29</f>
        <v>-35625.116999999998</v>
      </c>
    </row>
    <row r="31" spans="2:16" s="12" customFormat="1" ht="16.5" customHeight="1" x14ac:dyDescent="0.25">
      <c r="B31" s="47">
        <v>45490</v>
      </c>
      <c r="C31" s="27"/>
      <c r="D31" s="27"/>
      <c r="E31" s="27"/>
      <c r="F31" s="27" t="s">
        <v>50</v>
      </c>
      <c r="G31" s="65" t="s">
        <v>846</v>
      </c>
      <c r="H31" s="28">
        <v>0</v>
      </c>
      <c r="I31" s="28">
        <v>0</v>
      </c>
      <c r="J31" s="28"/>
      <c r="K31" s="28">
        <v>0</v>
      </c>
      <c r="L31" s="28">
        <v>0</v>
      </c>
      <c r="M31" s="28"/>
      <c r="N31" s="28">
        <v>0</v>
      </c>
      <c r="O31" s="28">
        <v>-129.16</v>
      </c>
      <c r="P31" s="26">
        <f>SUM(Table134726[[#This Row],[Cargos Bancarios]:[Avance]])+P30</f>
        <v>-35754.277000000002</v>
      </c>
    </row>
    <row r="32" spans="2:16" s="12" customFormat="1" ht="16.5" customHeight="1" x14ac:dyDescent="0.25">
      <c r="B32" s="47">
        <v>45494</v>
      </c>
      <c r="C32" s="27"/>
      <c r="D32" s="27"/>
      <c r="E32" s="27"/>
      <c r="F32" s="27" t="s">
        <v>822</v>
      </c>
      <c r="G32" s="65" t="s">
        <v>847</v>
      </c>
      <c r="H32" s="28">
        <v>0</v>
      </c>
      <c r="I32" s="28">
        <v>0</v>
      </c>
      <c r="J32" s="28"/>
      <c r="K32" s="28">
        <v>0</v>
      </c>
      <c r="L32" s="28">
        <v>0</v>
      </c>
      <c r="M32" s="28"/>
      <c r="N32" s="28">
        <v>0</v>
      </c>
      <c r="O32" s="28">
        <v>-53.45</v>
      </c>
      <c r="P32" s="26">
        <f>SUM(Table134726[[#This Row],[Cargos Bancarios]:[Avance]])+P31</f>
        <v>-35807.726999999999</v>
      </c>
    </row>
    <row r="33" spans="2:16" s="12" customFormat="1" ht="16.5" customHeight="1" x14ac:dyDescent="0.25">
      <c r="B33" s="47">
        <v>45494</v>
      </c>
      <c r="C33" s="27"/>
      <c r="D33" s="27"/>
      <c r="E33" s="27"/>
      <c r="F33" s="27" t="s">
        <v>822</v>
      </c>
      <c r="G33" s="65" t="s">
        <v>848</v>
      </c>
      <c r="H33" s="28">
        <v>0</v>
      </c>
      <c r="I33" s="28">
        <v>0</v>
      </c>
      <c r="J33" s="28"/>
      <c r="K33" s="28">
        <v>0</v>
      </c>
      <c r="L33" s="28">
        <v>0</v>
      </c>
      <c r="M33" s="28"/>
      <c r="N33" s="28">
        <v>0</v>
      </c>
      <c r="O33" s="28">
        <v>-189.81</v>
      </c>
      <c r="P33" s="26">
        <f>SUM(Table134726[[#This Row],[Cargos Bancarios]:[Avance]])+P32</f>
        <v>-35997.536999999997</v>
      </c>
    </row>
    <row r="34" spans="2:16" s="12" customFormat="1" ht="16.5" customHeight="1" x14ac:dyDescent="0.25">
      <c r="B34" s="47">
        <v>45495</v>
      </c>
      <c r="C34" s="27"/>
      <c r="D34" s="27"/>
      <c r="E34" s="27"/>
      <c r="F34" s="27" t="s">
        <v>823</v>
      </c>
      <c r="G34" s="65" t="s">
        <v>849</v>
      </c>
      <c r="H34" s="28">
        <v>0</v>
      </c>
      <c r="I34" s="28">
        <v>0</v>
      </c>
      <c r="J34" s="28"/>
      <c r="K34" s="28">
        <v>0</v>
      </c>
      <c r="L34" s="28">
        <v>0</v>
      </c>
      <c r="M34" s="28"/>
      <c r="N34" s="28">
        <v>0</v>
      </c>
      <c r="O34" s="28">
        <v>-266.60000000000002</v>
      </c>
      <c r="P34" s="26">
        <f>SUM(Table134726[[#This Row],[Cargos Bancarios]:[Avance]])+P33</f>
        <v>-36264.136999999995</v>
      </c>
    </row>
    <row r="35" spans="2:16" s="12" customFormat="1" ht="16.5" customHeight="1" x14ac:dyDescent="0.25">
      <c r="B35" s="47">
        <v>45502</v>
      </c>
      <c r="C35" s="27"/>
      <c r="D35" s="27"/>
      <c r="E35" s="27"/>
      <c r="F35" s="27" t="s">
        <v>824</v>
      </c>
      <c r="G35" s="65" t="s">
        <v>850</v>
      </c>
      <c r="H35" s="28">
        <v>0</v>
      </c>
      <c r="I35" s="28">
        <v>0</v>
      </c>
      <c r="J35" s="28"/>
      <c r="K35" s="28">
        <v>0</v>
      </c>
      <c r="L35" s="28">
        <v>0</v>
      </c>
      <c r="M35" s="28"/>
      <c r="N35" s="28">
        <v>0</v>
      </c>
      <c r="O35" s="28">
        <v>-61.672499999999999</v>
      </c>
      <c r="P35" s="26">
        <f>SUM(Table134726[[#This Row],[Cargos Bancarios]:[Avance]])+P34</f>
        <v>-36325.809499999996</v>
      </c>
    </row>
    <row r="36" spans="2:16" s="12" customFormat="1" ht="16.5" customHeight="1" x14ac:dyDescent="0.25">
      <c r="B36" s="47">
        <v>45502</v>
      </c>
      <c r="C36" s="27"/>
      <c r="D36" s="27"/>
      <c r="E36" s="27"/>
      <c r="F36" s="27" t="s">
        <v>825</v>
      </c>
      <c r="G36" s="65" t="s">
        <v>851</v>
      </c>
      <c r="H36" s="28">
        <v>0</v>
      </c>
      <c r="I36" s="28">
        <v>0</v>
      </c>
      <c r="J36" s="28"/>
      <c r="K36" s="28">
        <v>0</v>
      </c>
      <c r="L36" s="28">
        <v>0</v>
      </c>
      <c r="M36" s="28"/>
      <c r="N36" s="28">
        <v>0</v>
      </c>
      <c r="O36" s="28">
        <v>-1678.27</v>
      </c>
      <c r="P36" s="26">
        <f>SUM(Table134726[[#This Row],[Cargos Bancarios]:[Avance]])+P35</f>
        <v>-38004.079499999993</v>
      </c>
    </row>
    <row r="37" spans="2:16" s="12" customFormat="1" ht="16.5" customHeight="1" x14ac:dyDescent="0.25">
      <c r="B37" s="47">
        <v>45502</v>
      </c>
      <c r="C37" s="27"/>
      <c r="D37" s="27"/>
      <c r="E37" s="27"/>
      <c r="F37" s="27" t="s">
        <v>826</v>
      </c>
      <c r="G37" s="65" t="s">
        <v>852</v>
      </c>
      <c r="H37" s="28">
        <v>0</v>
      </c>
      <c r="I37" s="28">
        <v>0</v>
      </c>
      <c r="J37" s="28"/>
      <c r="K37" s="28">
        <v>0</v>
      </c>
      <c r="L37" s="28">
        <v>0</v>
      </c>
      <c r="M37" s="28"/>
      <c r="N37" s="28">
        <v>0</v>
      </c>
      <c r="O37" s="28">
        <v>-33.630000000000003</v>
      </c>
      <c r="P37" s="26">
        <f>SUM(Table134726[[#This Row],[Cargos Bancarios]:[Avance]])+P36</f>
        <v>-38037.70949999999</v>
      </c>
    </row>
    <row r="38" spans="2:16" s="12" customFormat="1" ht="16.5" customHeight="1" x14ac:dyDescent="0.25">
      <c r="B38" s="47">
        <v>45502</v>
      </c>
      <c r="C38" s="27"/>
      <c r="D38" s="27"/>
      <c r="E38" s="27"/>
      <c r="F38" s="27" t="s">
        <v>827</v>
      </c>
      <c r="G38" s="65" t="s">
        <v>853</v>
      </c>
      <c r="H38" s="28">
        <v>0</v>
      </c>
      <c r="I38" s="28">
        <v>0</v>
      </c>
      <c r="J38" s="28"/>
      <c r="K38" s="28">
        <v>0</v>
      </c>
      <c r="L38" s="28">
        <v>0</v>
      </c>
      <c r="M38" s="28"/>
      <c r="N38" s="28">
        <v>0</v>
      </c>
      <c r="O38" s="28">
        <v>-48.92</v>
      </c>
      <c r="P38" s="26">
        <f>SUM(Table134726[[#This Row],[Cargos Bancarios]:[Avance]])+P37</f>
        <v>-38086.629499999988</v>
      </c>
    </row>
    <row r="39" spans="2:16" s="12" customFormat="1" ht="16.5" customHeight="1" x14ac:dyDescent="0.25">
      <c r="B39" s="47">
        <v>45502</v>
      </c>
      <c r="C39" s="27"/>
      <c r="D39" s="27"/>
      <c r="E39" s="27"/>
      <c r="F39" s="27" t="s">
        <v>828</v>
      </c>
      <c r="G39" s="65" t="s">
        <v>854</v>
      </c>
      <c r="H39" s="28">
        <v>0</v>
      </c>
      <c r="I39" s="28">
        <v>0</v>
      </c>
      <c r="J39" s="28"/>
      <c r="K39" s="28">
        <v>0</v>
      </c>
      <c r="L39" s="28">
        <v>0</v>
      </c>
      <c r="M39" s="28"/>
      <c r="N39" s="28">
        <v>0</v>
      </c>
      <c r="O39" s="28">
        <v>-45.65</v>
      </c>
      <c r="P39" s="26">
        <f>SUM(Table134726[[#This Row],[Cargos Bancarios]:[Avance]])+P38</f>
        <v>-38132.27949999999</v>
      </c>
    </row>
    <row r="40" spans="2:16" s="12" customFormat="1" ht="16.5" customHeight="1" x14ac:dyDescent="0.25">
      <c r="B40" s="47">
        <v>45502</v>
      </c>
      <c r="C40" s="27"/>
      <c r="D40" s="27"/>
      <c r="E40" s="27"/>
      <c r="F40" s="27" t="s">
        <v>818</v>
      </c>
      <c r="G40" s="65" t="s">
        <v>852</v>
      </c>
      <c r="H40" s="28">
        <v>0</v>
      </c>
      <c r="I40" s="28">
        <v>0</v>
      </c>
      <c r="J40" s="28"/>
      <c r="K40" s="28">
        <v>0</v>
      </c>
      <c r="L40" s="28">
        <v>0</v>
      </c>
      <c r="M40" s="28"/>
      <c r="N40" s="28">
        <v>0</v>
      </c>
      <c r="O40" s="28">
        <v>-39.28</v>
      </c>
      <c r="P40" s="26">
        <f>SUM(Table134726[[#This Row],[Cargos Bancarios]:[Avance]])+P39</f>
        <v>-38171.559499999988</v>
      </c>
    </row>
    <row r="41" spans="2:16" s="12" customFormat="1" ht="16.5" customHeight="1" x14ac:dyDescent="0.25">
      <c r="B41" s="47">
        <v>45502</v>
      </c>
      <c r="C41" s="27"/>
      <c r="D41" s="27"/>
      <c r="E41" s="27"/>
      <c r="F41" s="27" t="s">
        <v>829</v>
      </c>
      <c r="G41" s="65" t="s">
        <v>780</v>
      </c>
      <c r="H41" s="28">
        <v>0</v>
      </c>
      <c r="I41" s="28">
        <v>0</v>
      </c>
      <c r="J41" s="28"/>
      <c r="K41" s="28">
        <v>0</v>
      </c>
      <c r="L41" s="28">
        <v>0</v>
      </c>
      <c r="M41" s="28"/>
      <c r="N41" s="28">
        <v>0</v>
      </c>
      <c r="O41" s="28">
        <v>-14.206666666666665</v>
      </c>
      <c r="P41" s="26">
        <f>SUM(Table134726[[#This Row],[Cargos Bancarios]:[Avance]])+P40</f>
        <v>-38185.766166666654</v>
      </c>
    </row>
    <row r="42" spans="2:16" s="12" customFormat="1" ht="16.5" customHeight="1" x14ac:dyDescent="0.25">
      <c r="B42" s="47">
        <v>45502</v>
      </c>
      <c r="C42" s="27"/>
      <c r="D42" s="27"/>
      <c r="E42" s="27"/>
      <c r="F42" s="27" t="s">
        <v>728</v>
      </c>
      <c r="G42" s="65" t="s">
        <v>779</v>
      </c>
      <c r="H42" s="28">
        <v>0</v>
      </c>
      <c r="I42" s="28">
        <v>0</v>
      </c>
      <c r="J42" s="28"/>
      <c r="K42" s="28">
        <v>0</v>
      </c>
      <c r="L42" s="28">
        <v>0</v>
      </c>
      <c r="M42" s="28"/>
      <c r="N42" s="28">
        <v>0</v>
      </c>
      <c r="O42" s="28">
        <v>-75.11</v>
      </c>
      <c r="P42" s="26">
        <f>SUM(Table134726[[#This Row],[Cargos Bancarios]:[Avance]])+P41</f>
        <v>-38260.876166666654</v>
      </c>
    </row>
    <row r="43" spans="2:16" s="12" customFormat="1" ht="16.5" customHeight="1" x14ac:dyDescent="0.25">
      <c r="B43" s="47">
        <v>45506</v>
      </c>
      <c r="C43" s="27"/>
      <c r="D43" s="27"/>
      <c r="E43" s="27"/>
      <c r="F43" s="27" t="s">
        <v>686</v>
      </c>
      <c r="G43" s="65" t="s">
        <v>855</v>
      </c>
      <c r="H43" s="28">
        <v>0</v>
      </c>
      <c r="I43" s="28">
        <v>0</v>
      </c>
      <c r="J43" s="28"/>
      <c r="K43" s="28">
        <v>0</v>
      </c>
      <c r="L43" s="28">
        <v>0</v>
      </c>
      <c r="M43" s="28"/>
      <c r="N43" s="28">
        <v>0</v>
      </c>
      <c r="O43" s="28">
        <v>-65.512500000000003</v>
      </c>
      <c r="P43" s="26">
        <f>SUM(Table134726[[#This Row],[Cargos Bancarios]:[Avance]])+P42</f>
        <v>-38326.388666666651</v>
      </c>
    </row>
    <row r="44" spans="2:16" s="12" customFormat="1" ht="16.5" customHeight="1" x14ac:dyDescent="0.25">
      <c r="B44" s="47">
        <v>45507</v>
      </c>
      <c r="C44" s="27"/>
      <c r="D44" s="27"/>
      <c r="E44" s="27"/>
      <c r="F44" s="27" t="s">
        <v>731</v>
      </c>
      <c r="G44" s="65" t="s">
        <v>782</v>
      </c>
      <c r="H44" s="28">
        <v>0</v>
      </c>
      <c r="I44" s="28">
        <v>0</v>
      </c>
      <c r="J44" s="28"/>
      <c r="K44" s="28">
        <v>0</v>
      </c>
      <c r="L44" s="28">
        <v>0</v>
      </c>
      <c r="M44" s="28"/>
      <c r="N44" s="28">
        <v>0</v>
      </c>
      <c r="O44" s="28">
        <v>-17.46</v>
      </c>
      <c r="P44" s="26">
        <f>SUM(Table134726[[#This Row],[Cargos Bancarios]:[Avance]])+P43</f>
        <v>-38343.84866666665</v>
      </c>
    </row>
    <row r="45" spans="2:16" s="12" customFormat="1" ht="16.5" customHeight="1" x14ac:dyDescent="0.25">
      <c r="B45" s="47">
        <v>45509</v>
      </c>
      <c r="C45" s="27"/>
      <c r="D45" s="27"/>
      <c r="E45" s="27"/>
      <c r="F45" s="27" t="s">
        <v>823</v>
      </c>
      <c r="G45" s="65" t="s">
        <v>856</v>
      </c>
      <c r="H45" s="28">
        <v>0</v>
      </c>
      <c r="I45" s="28">
        <v>0</v>
      </c>
      <c r="J45" s="28"/>
      <c r="K45" s="28">
        <v>0</v>
      </c>
      <c r="L45" s="28">
        <v>0</v>
      </c>
      <c r="M45" s="28"/>
      <c r="N45" s="28">
        <v>0</v>
      </c>
      <c r="O45" s="28">
        <v>-432.55</v>
      </c>
      <c r="P45" s="26">
        <f>SUM(Table134726[[#This Row],[Cargos Bancarios]:[Avance]])+P44</f>
        <v>-38776.398666666653</v>
      </c>
    </row>
    <row r="46" spans="2:16" s="12" customFormat="1" ht="16.5" customHeight="1" x14ac:dyDescent="0.25">
      <c r="B46" s="47">
        <v>45512</v>
      </c>
      <c r="C46" s="27"/>
      <c r="D46" s="27"/>
      <c r="E46" s="27"/>
      <c r="F46" s="27" t="s">
        <v>50</v>
      </c>
      <c r="G46" s="65" t="s">
        <v>857</v>
      </c>
      <c r="H46" s="28">
        <v>200000</v>
      </c>
      <c r="I46" s="28">
        <v>0</v>
      </c>
      <c r="J46" s="28"/>
      <c r="K46" s="28">
        <v>-40000</v>
      </c>
      <c r="L46" s="28">
        <v>-15000</v>
      </c>
      <c r="M46" s="28"/>
      <c r="N46" s="28">
        <v>160000</v>
      </c>
      <c r="O46" s="28">
        <v>0</v>
      </c>
      <c r="P46" s="26">
        <f>SUM(Table134726[[#This Row],[Cargos Bancarios]:[Avance]])+P45-Table134726[[#This Row],[20% Comisión]]</f>
        <v>106223.60133333335</v>
      </c>
    </row>
    <row r="47" spans="2:16" s="12" customFormat="1" ht="16.5" customHeight="1" x14ac:dyDescent="0.25">
      <c r="B47" s="47">
        <v>45515</v>
      </c>
      <c r="C47" s="27"/>
      <c r="D47" s="27"/>
      <c r="E47" s="27"/>
      <c r="F47" s="27" t="s">
        <v>724</v>
      </c>
      <c r="G47" s="65" t="s">
        <v>858</v>
      </c>
      <c r="H47" s="28">
        <v>0</v>
      </c>
      <c r="I47" s="28">
        <v>0</v>
      </c>
      <c r="J47" s="28"/>
      <c r="K47" s="28">
        <v>0</v>
      </c>
      <c r="L47" s="28">
        <v>0</v>
      </c>
      <c r="M47" s="28"/>
      <c r="N47" s="28">
        <v>0</v>
      </c>
      <c r="O47" s="28">
        <v>-432.55</v>
      </c>
      <c r="P47" s="26">
        <f>SUM(Table134726[[#This Row],[Cargos Bancarios]:[Avance]])+P46</f>
        <v>105791.05133333335</v>
      </c>
    </row>
    <row r="48" spans="2:16" s="12" customFormat="1" ht="16.5" customHeight="1" x14ac:dyDescent="0.25">
      <c r="B48" s="47">
        <v>45516</v>
      </c>
      <c r="C48" s="27"/>
      <c r="D48" s="27"/>
      <c r="E48" s="27"/>
      <c r="F48" s="27" t="s">
        <v>50</v>
      </c>
      <c r="G48" s="65" t="s">
        <v>841</v>
      </c>
      <c r="H48" s="28">
        <v>0</v>
      </c>
      <c r="I48" s="28">
        <v>0</v>
      </c>
      <c r="J48" s="28"/>
      <c r="K48" s="28">
        <v>0</v>
      </c>
      <c r="L48" s="28">
        <v>0</v>
      </c>
      <c r="M48" s="28"/>
      <c r="N48" s="28">
        <v>0</v>
      </c>
      <c r="O48" s="28">
        <v>-3500</v>
      </c>
      <c r="P48" s="26">
        <f>SUM(Table134726[[#This Row],[Cargos Bancarios]:[Avance]])+P47</f>
        <v>102291.05133333335</v>
      </c>
    </row>
    <row r="49" spans="2:16" s="12" customFormat="1" ht="16.5" customHeight="1" x14ac:dyDescent="0.25">
      <c r="B49" s="47">
        <v>45516</v>
      </c>
      <c r="C49" s="27"/>
      <c r="D49" s="27"/>
      <c r="E49" s="27"/>
      <c r="F49" s="27" t="s">
        <v>50</v>
      </c>
      <c r="G49" s="65" t="s">
        <v>841</v>
      </c>
      <c r="H49" s="28">
        <v>0</v>
      </c>
      <c r="I49" s="28">
        <v>0</v>
      </c>
      <c r="J49" s="28"/>
      <c r="K49" s="28">
        <v>0</v>
      </c>
      <c r="L49" s="28">
        <v>0</v>
      </c>
      <c r="M49" s="28"/>
      <c r="N49" s="28">
        <v>0</v>
      </c>
      <c r="O49" s="28">
        <v>-1500</v>
      </c>
      <c r="P49" s="26">
        <f>SUM(Table134726[[#This Row],[Cargos Bancarios]:[Avance]])+P48</f>
        <v>100791.05133333335</v>
      </c>
    </row>
    <row r="50" spans="2:16" s="12" customFormat="1" ht="16.5" customHeight="1" x14ac:dyDescent="0.25">
      <c r="B50" s="47">
        <v>45522</v>
      </c>
      <c r="C50" s="27"/>
      <c r="D50" s="27"/>
      <c r="E50" s="27"/>
      <c r="F50" s="27" t="s">
        <v>734</v>
      </c>
      <c r="G50" s="65" t="s">
        <v>859</v>
      </c>
      <c r="H50" s="28">
        <v>0</v>
      </c>
      <c r="I50" s="28">
        <v>0</v>
      </c>
      <c r="J50" s="28"/>
      <c r="K50" s="28">
        <v>0</v>
      </c>
      <c r="L50" s="28">
        <v>0</v>
      </c>
      <c r="M50" s="28"/>
      <c r="N50" s="28">
        <v>0</v>
      </c>
      <c r="O50" s="28">
        <v>-1544.54</v>
      </c>
      <c r="P50" s="26">
        <f>SUM(Table134726[[#This Row],[Cargos Bancarios]:[Avance]])+P49</f>
        <v>99246.511333333357</v>
      </c>
    </row>
    <row r="51" spans="2:16" s="12" customFormat="1" ht="16.5" customHeight="1" x14ac:dyDescent="0.25">
      <c r="B51" s="47">
        <v>45532</v>
      </c>
      <c r="C51" s="27"/>
      <c r="D51" s="27"/>
      <c r="E51" s="27"/>
      <c r="F51" s="27" t="s">
        <v>50</v>
      </c>
      <c r="G51" s="65" t="s">
        <v>860</v>
      </c>
      <c r="H51" s="28">
        <v>0</v>
      </c>
      <c r="I51" s="28">
        <v>-25</v>
      </c>
      <c r="J51" s="28"/>
      <c r="K51" s="28">
        <v>0</v>
      </c>
      <c r="L51" s="28">
        <v>0</v>
      </c>
      <c r="M51" s="28"/>
      <c r="N51" s="28">
        <v>0</v>
      </c>
      <c r="O51" s="28">
        <v>-3400</v>
      </c>
      <c r="P51" s="26">
        <f>SUM(Table134726[[#This Row],[Cargos Bancarios]:[Avance]])+P50</f>
        <v>95821.511333333357</v>
      </c>
    </row>
    <row r="52" spans="2:16" s="12" customFormat="1" ht="16.5" customHeight="1" x14ac:dyDescent="0.25">
      <c r="B52" s="47">
        <v>45532</v>
      </c>
      <c r="C52" s="27"/>
      <c r="D52" s="27"/>
      <c r="E52" s="27"/>
      <c r="F52" s="27" t="s">
        <v>50</v>
      </c>
      <c r="G52" s="65" t="s">
        <v>860</v>
      </c>
      <c r="H52" s="28">
        <v>0</v>
      </c>
      <c r="I52" s="28">
        <v>-25</v>
      </c>
      <c r="J52" s="28"/>
      <c r="K52" s="28">
        <v>0</v>
      </c>
      <c r="L52" s="28">
        <v>0</v>
      </c>
      <c r="M52" s="28"/>
      <c r="N52" s="28">
        <v>0</v>
      </c>
      <c r="O52" s="28">
        <v>-3500</v>
      </c>
      <c r="P52" s="26">
        <f>SUM(Table134726[[#This Row],[Cargos Bancarios]:[Avance]])+P51</f>
        <v>92296.511333333357</v>
      </c>
    </row>
    <row r="53" spans="2:16" s="12" customFormat="1" ht="16.5" customHeight="1" x14ac:dyDescent="0.25">
      <c r="B53" s="47">
        <v>45536</v>
      </c>
      <c r="C53" s="27"/>
      <c r="D53" s="27"/>
      <c r="E53" s="27"/>
      <c r="F53" s="27" t="s">
        <v>216</v>
      </c>
      <c r="G53" s="65" t="s">
        <v>861</v>
      </c>
      <c r="H53" s="28">
        <v>0</v>
      </c>
      <c r="I53" s="28">
        <v>0</v>
      </c>
      <c r="J53" s="28"/>
      <c r="K53" s="28">
        <v>0</v>
      </c>
      <c r="L53" s="28">
        <v>0</v>
      </c>
      <c r="M53" s="28"/>
      <c r="N53" s="28">
        <v>0</v>
      </c>
      <c r="O53" s="28">
        <v>-614</v>
      </c>
      <c r="P53" s="26">
        <f>SUM(Table134726[[#This Row],[Cargos Bancarios]:[Avance]])+P52</f>
        <v>91682.511333333357</v>
      </c>
    </row>
    <row r="54" spans="2:16" s="12" customFormat="1" ht="16.5" customHeight="1" x14ac:dyDescent="0.25">
      <c r="B54" s="47">
        <v>45536</v>
      </c>
      <c r="C54" s="27"/>
      <c r="D54" s="27"/>
      <c r="E54" s="27"/>
      <c r="F54" s="27" t="s">
        <v>50</v>
      </c>
      <c r="G54" s="65" t="s">
        <v>841</v>
      </c>
      <c r="H54" s="28">
        <v>0</v>
      </c>
      <c r="I54" s="28">
        <v>0</v>
      </c>
      <c r="J54" s="28"/>
      <c r="K54" s="28">
        <v>0</v>
      </c>
      <c r="L54" s="28">
        <v>0</v>
      </c>
      <c r="M54" s="28"/>
      <c r="N54" s="28">
        <v>0</v>
      </c>
      <c r="O54" s="28">
        <v>-64600</v>
      </c>
      <c r="P54" s="26">
        <f>SUM(Table134726[[#This Row],[Cargos Bancarios]:[Avance]])+P53</f>
        <v>27082.511333333357</v>
      </c>
    </row>
    <row r="55" spans="2:16" s="12" customFormat="1" ht="16.5" customHeight="1" x14ac:dyDescent="0.25">
      <c r="B55" s="47">
        <v>45547</v>
      </c>
      <c r="C55" s="27"/>
      <c r="D55" s="27"/>
      <c r="E55" s="27"/>
      <c r="F55" s="27" t="s">
        <v>50</v>
      </c>
      <c r="G55" s="65" t="s">
        <v>862</v>
      </c>
      <c r="H55" s="28">
        <v>0</v>
      </c>
      <c r="I55" s="28">
        <v>0</v>
      </c>
      <c r="J55" s="28"/>
      <c r="K55" s="28">
        <v>0</v>
      </c>
      <c r="L55" s="28">
        <v>0</v>
      </c>
      <c r="M55" s="28"/>
      <c r="N55" s="28">
        <v>218.2</v>
      </c>
      <c r="O55" s="28">
        <v>0</v>
      </c>
      <c r="P55" s="26">
        <f>SUM(Table134726[[#This Row],[Cargos Bancarios]:[Avance]])+P54</f>
        <v>27300.711333333358</v>
      </c>
    </row>
    <row r="56" spans="2:16" s="12" customFormat="1" ht="16.5" customHeight="1" x14ac:dyDescent="0.25">
      <c r="B56" s="47">
        <v>45551</v>
      </c>
      <c r="C56" s="27"/>
      <c r="D56" s="27"/>
      <c r="E56" s="27"/>
      <c r="F56" s="27" t="s">
        <v>50</v>
      </c>
      <c r="G56" s="65" t="s">
        <v>841</v>
      </c>
      <c r="H56" s="28">
        <v>0</v>
      </c>
      <c r="I56" s="28">
        <v>-25</v>
      </c>
      <c r="J56" s="28"/>
      <c r="K56" s="28">
        <v>0</v>
      </c>
      <c r="L56" s="28">
        <v>0</v>
      </c>
      <c r="M56" s="28"/>
      <c r="N56" s="28">
        <v>0</v>
      </c>
      <c r="O56" s="28">
        <v>-3000</v>
      </c>
      <c r="P56" s="26">
        <f>SUM(Table134726[[#This Row],[Cargos Bancarios]:[Avance]])+P55</f>
        <v>24275.711333333358</v>
      </c>
    </row>
    <row r="57" spans="2:16" s="12" customFormat="1" ht="16.5" customHeight="1" x14ac:dyDescent="0.25">
      <c r="B57" s="47">
        <v>45554</v>
      </c>
      <c r="C57" s="27"/>
      <c r="D57" s="27"/>
      <c r="E57" s="27"/>
      <c r="F57" s="27" t="s">
        <v>822</v>
      </c>
      <c r="G57" s="65" t="s">
        <v>841</v>
      </c>
      <c r="H57" s="28">
        <v>0</v>
      </c>
      <c r="I57" s="28">
        <v>0</v>
      </c>
      <c r="J57" s="28"/>
      <c r="K57" s="28">
        <v>0</v>
      </c>
      <c r="L57" s="28">
        <v>0</v>
      </c>
      <c r="M57" s="28"/>
      <c r="N57" s="28">
        <v>0</v>
      </c>
      <c r="O57" s="28">
        <v>-2000</v>
      </c>
      <c r="P57" s="26">
        <f>SUM(Table134726[[#This Row],[Cargos Bancarios]:[Avance]])+P56</f>
        <v>22275.711333333358</v>
      </c>
    </row>
    <row r="58" spans="2:16" s="12" customFormat="1" ht="16.5" customHeight="1" x14ac:dyDescent="0.25">
      <c r="B58" s="47">
        <v>45568</v>
      </c>
      <c r="C58" s="27"/>
      <c r="D58" s="27"/>
      <c r="E58" s="27"/>
      <c r="F58" s="27" t="s">
        <v>50</v>
      </c>
      <c r="G58" s="65" t="s">
        <v>841</v>
      </c>
      <c r="H58" s="28">
        <v>0</v>
      </c>
      <c r="I58" s="28">
        <v>0</v>
      </c>
      <c r="J58" s="28"/>
      <c r="K58" s="28">
        <v>0</v>
      </c>
      <c r="L58" s="28">
        <v>0</v>
      </c>
      <c r="M58" s="28"/>
      <c r="N58" s="28">
        <v>0</v>
      </c>
      <c r="O58" s="28">
        <v>-8497.4599999999991</v>
      </c>
      <c r="P58" s="26">
        <f>SUM(Table134726[[#This Row],[Cargos Bancarios]:[Avance]])+P57</f>
        <v>13778.251333333359</v>
      </c>
    </row>
    <row r="59" spans="2:16" ht="16.5" customHeight="1" x14ac:dyDescent="0.45">
      <c r="B59" s="72">
        <v>45657</v>
      </c>
      <c r="C59" s="73"/>
      <c r="D59" s="73"/>
      <c r="E59" s="73"/>
      <c r="F59" s="73" t="s">
        <v>50</v>
      </c>
      <c r="G59" s="73" t="s">
        <v>705</v>
      </c>
      <c r="H59" s="74">
        <v>0</v>
      </c>
      <c r="I59" s="74">
        <v>0</v>
      </c>
      <c r="J59" s="74"/>
      <c r="K59" s="74">
        <v>0</v>
      </c>
      <c r="L59" s="74">
        <v>0</v>
      </c>
      <c r="M59" s="74"/>
      <c r="N59" s="74">
        <v>0</v>
      </c>
      <c r="O59" s="74">
        <v>-345</v>
      </c>
      <c r="P59" s="26">
        <f>SUM(Table134726[[#This Row],[Cargos Bancarios]:[Avance]])+P58</f>
        <v>13433.251333333359</v>
      </c>
    </row>
    <row r="60" spans="2:16" ht="16.5" customHeight="1" x14ac:dyDescent="0.45">
      <c r="B60" s="72">
        <v>45659</v>
      </c>
      <c r="C60" s="73"/>
      <c r="D60" s="73"/>
      <c r="E60" s="73"/>
      <c r="F60" s="73" t="s">
        <v>50</v>
      </c>
      <c r="G60" s="73" t="s">
        <v>841</v>
      </c>
      <c r="H60" s="74">
        <v>0</v>
      </c>
      <c r="I60" s="74">
        <v>0</v>
      </c>
      <c r="J60" s="74"/>
      <c r="K60" s="74">
        <v>0</v>
      </c>
      <c r="L60" s="74">
        <v>0</v>
      </c>
      <c r="M60" s="74"/>
      <c r="N60" s="74">
        <v>0</v>
      </c>
      <c r="O60" s="74">
        <v>-2500</v>
      </c>
      <c r="P60" s="26">
        <f>SUM(Table134726[[#This Row],[Cargos Bancarios]:[Avance]])+P59</f>
        <v>10933.251333333359</v>
      </c>
    </row>
    <row r="61" spans="2:16" ht="16.5" customHeight="1" x14ac:dyDescent="0.45">
      <c r="B61" s="72">
        <v>45666</v>
      </c>
      <c r="C61" s="73"/>
      <c r="D61" s="73"/>
      <c r="E61" s="73"/>
      <c r="F61" s="73" t="s">
        <v>50</v>
      </c>
      <c r="G61" s="73" t="s">
        <v>841</v>
      </c>
      <c r="H61" s="74">
        <v>0</v>
      </c>
      <c r="I61" s="74">
        <v>0</v>
      </c>
      <c r="J61" s="74"/>
      <c r="K61" s="74">
        <v>0</v>
      </c>
      <c r="L61" s="74">
        <v>0</v>
      </c>
      <c r="M61" s="74"/>
      <c r="N61" s="74">
        <v>0</v>
      </c>
      <c r="O61" s="74">
        <v>-2500</v>
      </c>
      <c r="P61" s="26">
        <f>SUM(Table134726[[#This Row],[Cargos Bancarios]:[Avance]])+P60</f>
        <v>8433.2513333333591</v>
      </c>
    </row>
    <row r="62" spans="2:16" ht="16.5" customHeight="1" x14ac:dyDescent="0.45">
      <c r="B62" s="72">
        <v>45674</v>
      </c>
      <c r="C62" s="73"/>
      <c r="D62" s="73"/>
      <c r="E62" s="73"/>
      <c r="F62" s="73" t="s">
        <v>50</v>
      </c>
      <c r="G62" s="73" t="s">
        <v>863</v>
      </c>
      <c r="H62" s="74">
        <v>100000</v>
      </c>
      <c r="I62" s="74">
        <v>0</v>
      </c>
      <c r="J62" s="74"/>
      <c r="K62" s="74">
        <v>-20000</v>
      </c>
      <c r="L62" s="74">
        <v>0</v>
      </c>
      <c r="M62" s="74"/>
      <c r="N62" s="74">
        <v>80000</v>
      </c>
      <c r="O62" s="74">
        <v>0</v>
      </c>
      <c r="P62" s="26">
        <f>SUM(Table134726[[#This Row],[Cargos Bancarios]:[Avance]])+P61-Table134726[[#This Row],[20% Comisión]]</f>
        <v>88433.251333333363</v>
      </c>
    </row>
    <row r="63" spans="2:16" ht="16.5" customHeight="1" x14ac:dyDescent="0.45">
      <c r="B63" s="72">
        <v>45675</v>
      </c>
      <c r="C63" s="73"/>
      <c r="D63" s="73"/>
      <c r="E63" s="73"/>
      <c r="F63" s="73" t="s">
        <v>50</v>
      </c>
      <c r="G63" s="73" t="s">
        <v>864</v>
      </c>
      <c r="H63" s="74">
        <v>0</v>
      </c>
      <c r="I63" s="74">
        <v>0</v>
      </c>
      <c r="J63" s="74"/>
      <c r="K63" s="74">
        <v>0</v>
      </c>
      <c r="L63" s="74">
        <v>0</v>
      </c>
      <c r="M63" s="74"/>
      <c r="N63" s="74">
        <v>0</v>
      </c>
      <c r="O63" s="74">
        <v>-224.4</v>
      </c>
      <c r="P63" s="26">
        <f>SUM(Table134726[[#This Row],[Cargos Bancarios]:[Avance]])+P62</f>
        <v>88208.851333333369</v>
      </c>
    </row>
    <row r="64" spans="2:16" ht="16.5" customHeight="1" x14ac:dyDescent="0.45">
      <c r="B64" s="72">
        <v>45676</v>
      </c>
      <c r="C64" s="73"/>
      <c r="D64" s="73"/>
      <c r="E64" s="73"/>
      <c r="F64" s="73" t="s">
        <v>50</v>
      </c>
      <c r="G64" s="73" t="s">
        <v>865</v>
      </c>
      <c r="H64" s="74">
        <v>0</v>
      </c>
      <c r="I64" s="74">
        <v>0</v>
      </c>
      <c r="J64" s="74"/>
      <c r="K64" s="74">
        <v>0</v>
      </c>
      <c r="L64" s="74">
        <v>0</v>
      </c>
      <c r="M64" s="74"/>
      <c r="N64" s="74">
        <v>0</v>
      </c>
      <c r="O64" s="74">
        <v>-176.29999999999998</v>
      </c>
      <c r="P64" s="26">
        <f>SUM(Table134726[[#This Row],[Cargos Bancarios]:[Avance]])+P63</f>
        <v>88032.551333333366</v>
      </c>
    </row>
    <row r="65" spans="2:16" ht="16.5" customHeight="1" x14ac:dyDescent="0.45">
      <c r="B65" s="72">
        <v>45676</v>
      </c>
      <c r="C65" s="73"/>
      <c r="D65" s="73"/>
      <c r="E65" s="73"/>
      <c r="F65" s="73" t="s">
        <v>158</v>
      </c>
      <c r="G65" s="73" t="s">
        <v>866</v>
      </c>
      <c r="H65" s="74">
        <v>0</v>
      </c>
      <c r="I65" s="74">
        <v>0</v>
      </c>
      <c r="J65" s="74"/>
      <c r="K65" s="74">
        <v>0</v>
      </c>
      <c r="L65" s="74">
        <v>0</v>
      </c>
      <c r="M65" s="74"/>
      <c r="N65" s="74">
        <v>0</v>
      </c>
      <c r="O65" s="74">
        <v>-173.4</v>
      </c>
      <c r="P65" s="26">
        <f>SUM(Table134726[[#This Row],[Cargos Bancarios]:[Avance]])+P64</f>
        <v>87859.151333333371</v>
      </c>
    </row>
    <row r="66" spans="2:16" ht="16.5" customHeight="1" x14ac:dyDescent="0.45">
      <c r="B66" s="72">
        <v>45677</v>
      </c>
      <c r="C66" s="73"/>
      <c r="D66" s="73"/>
      <c r="E66" s="73"/>
      <c r="F66" s="73" t="s">
        <v>50</v>
      </c>
      <c r="G66" s="73" t="s">
        <v>867</v>
      </c>
      <c r="H66" s="74">
        <v>0</v>
      </c>
      <c r="I66" s="74">
        <v>0</v>
      </c>
      <c r="J66" s="74"/>
      <c r="K66" s="74">
        <v>0</v>
      </c>
      <c r="L66" s="74">
        <v>0</v>
      </c>
      <c r="M66" s="74"/>
      <c r="N66" s="74">
        <v>0</v>
      </c>
      <c r="O66" s="74">
        <v>-143.4</v>
      </c>
      <c r="P66" s="26">
        <f>SUM(Table134726[[#This Row],[Cargos Bancarios]:[Avance]])+P65</f>
        <v>87715.751333333377</v>
      </c>
    </row>
    <row r="67" spans="2:16" ht="16.5" customHeight="1" x14ac:dyDescent="0.45">
      <c r="B67" s="72">
        <v>45677</v>
      </c>
      <c r="C67" s="73"/>
      <c r="D67" s="73"/>
      <c r="E67" s="73"/>
      <c r="F67" s="73" t="s">
        <v>50</v>
      </c>
      <c r="G67" s="73" t="s">
        <v>868</v>
      </c>
      <c r="H67" s="74">
        <v>0</v>
      </c>
      <c r="I67" s="74">
        <v>0</v>
      </c>
      <c r="J67" s="74"/>
      <c r="K67" s="74">
        <v>0</v>
      </c>
      <c r="L67" s="74">
        <v>0</v>
      </c>
      <c r="M67" s="74"/>
      <c r="N67" s="74">
        <v>0</v>
      </c>
      <c r="O67" s="74">
        <v>-173.4</v>
      </c>
      <c r="P67" s="26">
        <f>SUM(Table134726[[#This Row],[Cargos Bancarios]:[Avance]])+P66</f>
        <v>87542.351333333383</v>
      </c>
    </row>
    <row r="68" spans="2:16" ht="16.5" customHeight="1" x14ac:dyDescent="0.45">
      <c r="B68" s="72">
        <v>45677</v>
      </c>
      <c r="C68" s="73"/>
      <c r="D68" s="73"/>
      <c r="E68" s="73"/>
      <c r="F68" s="73" t="s">
        <v>712</v>
      </c>
      <c r="G68" s="73" t="s">
        <v>869</v>
      </c>
      <c r="H68" s="74">
        <v>0</v>
      </c>
      <c r="I68" s="74">
        <v>0</v>
      </c>
      <c r="J68" s="74"/>
      <c r="K68" s="74">
        <v>0</v>
      </c>
      <c r="L68" s="74">
        <v>0</v>
      </c>
      <c r="M68" s="74"/>
      <c r="N68" s="74">
        <v>0</v>
      </c>
      <c r="O68" s="74">
        <v>-179.52</v>
      </c>
      <c r="P68" s="26">
        <f>SUM(Table134726[[#This Row],[Cargos Bancarios]:[Avance]])+P67</f>
        <v>87362.831333333379</v>
      </c>
    </row>
    <row r="69" spans="2:16" ht="16.5" customHeight="1" x14ac:dyDescent="0.45">
      <c r="B69" s="72">
        <v>45679</v>
      </c>
      <c r="C69" s="73"/>
      <c r="D69" s="73"/>
      <c r="E69" s="73"/>
      <c r="F69" s="73" t="s">
        <v>216</v>
      </c>
      <c r="G69" s="73" t="s">
        <v>870</v>
      </c>
      <c r="H69" s="74">
        <v>0</v>
      </c>
      <c r="I69" s="74">
        <v>0</v>
      </c>
      <c r="J69" s="74"/>
      <c r="K69" s="74">
        <v>0</v>
      </c>
      <c r="L69" s="74">
        <v>0</v>
      </c>
      <c r="M69" s="74"/>
      <c r="N69" s="74">
        <v>0</v>
      </c>
      <c r="O69" s="74">
        <v>-100.80333333333334</v>
      </c>
      <c r="P69" s="26">
        <f>SUM(Table134726[[#This Row],[Cargos Bancarios]:[Avance]])+P68</f>
        <v>87262.028000000049</v>
      </c>
    </row>
    <row r="70" spans="2:16" ht="16.5" customHeight="1" x14ac:dyDescent="0.45">
      <c r="B70" s="72">
        <v>45679</v>
      </c>
      <c r="C70" s="73"/>
      <c r="D70" s="73"/>
      <c r="E70" s="73"/>
      <c r="F70" s="73" t="s">
        <v>50</v>
      </c>
      <c r="G70" s="73" t="s">
        <v>841</v>
      </c>
      <c r="H70" s="74">
        <v>0</v>
      </c>
      <c r="I70" s="74">
        <v>0</v>
      </c>
      <c r="J70" s="74"/>
      <c r="K70" s="74">
        <v>0</v>
      </c>
      <c r="L70" s="74">
        <v>0</v>
      </c>
      <c r="M70" s="74"/>
      <c r="N70" s="74">
        <v>0</v>
      </c>
      <c r="O70" s="74">
        <v>-20000</v>
      </c>
      <c r="P70" s="26">
        <f>SUM(Table134726[[#This Row],[Cargos Bancarios]:[Avance]])+P69</f>
        <v>67262.028000000049</v>
      </c>
    </row>
    <row r="71" spans="2:16" ht="16.5" customHeight="1" x14ac:dyDescent="0.45">
      <c r="B71" s="72">
        <v>45679</v>
      </c>
      <c r="C71" s="73"/>
      <c r="D71" s="73"/>
      <c r="E71" s="73"/>
      <c r="F71" s="73" t="s">
        <v>216</v>
      </c>
      <c r="G71" s="73" t="s">
        <v>870</v>
      </c>
      <c r="H71" s="74">
        <v>0</v>
      </c>
      <c r="I71" s="74">
        <v>0</v>
      </c>
      <c r="J71" s="74"/>
      <c r="K71" s="74">
        <v>0</v>
      </c>
      <c r="L71" s="74">
        <v>0</v>
      </c>
      <c r="M71" s="74"/>
      <c r="N71" s="74">
        <v>0</v>
      </c>
      <c r="O71" s="74">
        <v>-57.09</v>
      </c>
      <c r="P71" s="26">
        <f>SUM(Table134726[[#This Row],[Cargos Bancarios]:[Avance]])+P70</f>
        <v>67204.938000000053</v>
      </c>
    </row>
    <row r="72" spans="2:16" ht="16.5" customHeight="1" x14ac:dyDescent="0.45">
      <c r="B72" s="72">
        <v>45684</v>
      </c>
      <c r="C72" s="73"/>
      <c r="D72" s="73"/>
      <c r="E72" s="73"/>
      <c r="F72" s="73" t="s">
        <v>50</v>
      </c>
      <c r="G72" s="73" t="s">
        <v>841</v>
      </c>
      <c r="H72" s="74">
        <v>0</v>
      </c>
      <c r="I72" s="74">
        <v>0</v>
      </c>
      <c r="J72" s="74"/>
      <c r="K72" s="74">
        <v>0</v>
      </c>
      <c r="L72" s="74">
        <v>0</v>
      </c>
      <c r="M72" s="74"/>
      <c r="N72" s="74">
        <v>0</v>
      </c>
      <c r="O72" s="74">
        <v>-300</v>
      </c>
      <c r="P72" s="26">
        <f>SUM(Table134726[[#This Row],[Cargos Bancarios]:[Avance]])+P71</f>
        <v>66904.938000000053</v>
      </c>
    </row>
    <row r="73" spans="2:16" ht="16.5" customHeight="1" x14ac:dyDescent="0.45">
      <c r="B73" s="72">
        <v>45689</v>
      </c>
      <c r="C73" s="73"/>
      <c r="D73" s="73"/>
      <c r="E73" s="73"/>
      <c r="F73" s="73" t="s">
        <v>830</v>
      </c>
      <c r="G73" s="73" t="s">
        <v>871</v>
      </c>
      <c r="H73" s="74">
        <v>0</v>
      </c>
      <c r="I73" s="74">
        <v>0</v>
      </c>
      <c r="J73" s="74"/>
      <c r="K73" s="74">
        <v>0</v>
      </c>
      <c r="L73" s="74">
        <v>0</v>
      </c>
      <c r="M73" s="74"/>
      <c r="N73" s="74">
        <v>0</v>
      </c>
      <c r="O73" s="74">
        <v>-44.77</v>
      </c>
      <c r="P73" s="26">
        <f>SUM(Table134726[[#This Row],[Cargos Bancarios]:[Avance]])+P72</f>
        <v>66860.168000000049</v>
      </c>
    </row>
    <row r="74" spans="2:16" ht="16.5" customHeight="1" x14ac:dyDescent="0.45">
      <c r="B74" s="72">
        <v>45690</v>
      </c>
      <c r="C74" s="73"/>
      <c r="D74" s="73"/>
      <c r="E74" s="73"/>
      <c r="F74" s="73" t="s">
        <v>831</v>
      </c>
      <c r="G74" s="73" t="s">
        <v>872</v>
      </c>
      <c r="H74" s="74">
        <v>0</v>
      </c>
      <c r="I74" s="74">
        <v>0</v>
      </c>
      <c r="J74" s="74"/>
      <c r="K74" s="74">
        <v>0</v>
      </c>
      <c r="L74" s="74">
        <v>0</v>
      </c>
      <c r="M74" s="74"/>
      <c r="N74" s="74">
        <v>0</v>
      </c>
      <c r="O74" s="74">
        <v>-232.41</v>
      </c>
      <c r="P74" s="26">
        <f>SUM(Table134726[[#This Row],[Cargos Bancarios]:[Avance]])+P73</f>
        <v>66627.758000000045</v>
      </c>
    </row>
    <row r="75" spans="2:16" ht="16.5" customHeight="1" x14ac:dyDescent="0.45">
      <c r="B75" s="72">
        <v>45691</v>
      </c>
      <c r="C75" s="73"/>
      <c r="D75" s="73"/>
      <c r="E75" s="73"/>
      <c r="F75" s="73" t="s">
        <v>832</v>
      </c>
      <c r="G75" s="73" t="s">
        <v>873</v>
      </c>
      <c r="H75" s="74">
        <v>0</v>
      </c>
      <c r="I75" s="74">
        <v>0</v>
      </c>
      <c r="J75" s="74"/>
      <c r="K75" s="74">
        <v>0</v>
      </c>
      <c r="L75" s="74">
        <v>0</v>
      </c>
      <c r="M75" s="74"/>
      <c r="N75" s="74">
        <v>0</v>
      </c>
      <c r="O75" s="74">
        <v>-31.02</v>
      </c>
      <c r="P75" s="26">
        <f>SUM(Table134726[[#This Row],[Cargos Bancarios]:[Avance]])+P74</f>
        <v>66596.738000000041</v>
      </c>
    </row>
    <row r="76" spans="2:16" ht="16.5" customHeight="1" x14ac:dyDescent="0.45">
      <c r="B76" s="72">
        <v>45692</v>
      </c>
      <c r="C76" s="73"/>
      <c r="D76" s="73"/>
      <c r="E76" s="73"/>
      <c r="F76" s="73" t="s">
        <v>740</v>
      </c>
      <c r="G76" s="73" t="s">
        <v>873</v>
      </c>
      <c r="H76" s="74">
        <v>0</v>
      </c>
      <c r="I76" s="74">
        <v>0</v>
      </c>
      <c r="J76" s="74"/>
      <c r="K76" s="74">
        <v>0</v>
      </c>
      <c r="L76" s="74">
        <v>0</v>
      </c>
      <c r="M76" s="74"/>
      <c r="N76" s="74">
        <v>0</v>
      </c>
      <c r="O76" s="74">
        <v>-62.66</v>
      </c>
      <c r="P76" s="26">
        <f>SUM(Table134726[[#This Row],[Cargos Bancarios]:[Avance]])+P75</f>
        <v>66534.078000000038</v>
      </c>
    </row>
    <row r="77" spans="2:16" ht="16.5" customHeight="1" x14ac:dyDescent="0.45">
      <c r="B77" s="72">
        <v>45697</v>
      </c>
      <c r="C77" s="73"/>
      <c r="D77" s="73"/>
      <c r="E77" s="73"/>
      <c r="F77" s="73" t="s">
        <v>740</v>
      </c>
      <c r="G77" s="73" t="s">
        <v>873</v>
      </c>
      <c r="H77" s="74">
        <v>0</v>
      </c>
      <c r="I77" s="74">
        <v>0</v>
      </c>
      <c r="J77" s="74"/>
      <c r="K77" s="74">
        <v>0</v>
      </c>
      <c r="L77" s="74">
        <v>0</v>
      </c>
      <c r="M77" s="74"/>
      <c r="N77" s="74">
        <v>0</v>
      </c>
      <c r="O77" s="74">
        <v>-82.25</v>
      </c>
      <c r="P77" s="26">
        <f>SUM(Table134726[[#This Row],[Cargos Bancarios]:[Avance]])+P76</f>
        <v>66451.828000000038</v>
      </c>
    </row>
    <row r="78" spans="2:16" ht="16.5" customHeight="1" x14ac:dyDescent="0.45">
      <c r="B78" s="72">
        <v>45703</v>
      </c>
      <c r="C78" s="73"/>
      <c r="D78" s="73"/>
      <c r="E78" s="73"/>
      <c r="F78" s="73" t="s">
        <v>740</v>
      </c>
      <c r="G78" s="73" t="s">
        <v>873</v>
      </c>
      <c r="H78" s="74">
        <v>0</v>
      </c>
      <c r="I78" s="74">
        <v>0</v>
      </c>
      <c r="J78" s="74"/>
      <c r="K78" s="74">
        <v>0</v>
      </c>
      <c r="L78" s="74">
        <v>0</v>
      </c>
      <c r="M78" s="74"/>
      <c r="N78" s="74">
        <v>0</v>
      </c>
      <c r="O78" s="74">
        <v>-113.09</v>
      </c>
      <c r="P78" s="26">
        <f>SUM(Table134726[[#This Row],[Cargos Bancarios]:[Avance]])+P77</f>
        <v>66338.738000000041</v>
      </c>
    </row>
    <row r="79" spans="2:16" ht="16.5" customHeight="1" x14ac:dyDescent="0.45">
      <c r="B79" s="72">
        <v>45704</v>
      </c>
      <c r="C79" s="73"/>
      <c r="D79" s="73"/>
      <c r="E79" s="73"/>
      <c r="F79" s="73" t="s">
        <v>740</v>
      </c>
      <c r="G79" s="73" t="s">
        <v>873</v>
      </c>
      <c r="H79" s="74">
        <v>0</v>
      </c>
      <c r="I79" s="74">
        <v>0</v>
      </c>
      <c r="J79" s="74"/>
      <c r="K79" s="74">
        <v>0</v>
      </c>
      <c r="L79" s="74">
        <v>0</v>
      </c>
      <c r="M79" s="74"/>
      <c r="N79" s="74">
        <v>0</v>
      </c>
      <c r="O79" s="74">
        <v>-127.762</v>
      </c>
      <c r="P79" s="26">
        <f>SUM(Table134726[[#This Row],[Cargos Bancarios]:[Avance]])+P78</f>
        <v>66210.976000000039</v>
      </c>
    </row>
    <row r="80" spans="2:16" ht="16.5" customHeight="1" x14ac:dyDescent="0.45">
      <c r="B80" s="72">
        <v>45708</v>
      </c>
      <c r="C80" s="73"/>
      <c r="D80" s="73"/>
      <c r="E80" s="73"/>
      <c r="F80" s="73" t="s">
        <v>833</v>
      </c>
      <c r="G80" s="73" t="s">
        <v>874</v>
      </c>
      <c r="H80" s="74">
        <v>0</v>
      </c>
      <c r="I80" s="74">
        <v>0</v>
      </c>
      <c r="J80" s="74"/>
      <c r="K80" s="74">
        <v>0</v>
      </c>
      <c r="L80" s="74">
        <v>0</v>
      </c>
      <c r="M80" s="74"/>
      <c r="N80" s="74">
        <v>0</v>
      </c>
      <c r="O80" s="74">
        <v>-150.99</v>
      </c>
      <c r="P80" s="26">
        <f>SUM(Table134726[[#This Row],[Cargos Bancarios]:[Avance]])+P79</f>
        <v>66059.986000000034</v>
      </c>
    </row>
    <row r="81" spans="2:16" ht="16.5" customHeight="1" x14ac:dyDescent="0.45">
      <c r="B81" s="72">
        <v>45712</v>
      </c>
      <c r="C81" s="73"/>
      <c r="D81" s="73"/>
      <c r="E81" s="73"/>
      <c r="F81" s="73" t="s">
        <v>50</v>
      </c>
      <c r="G81" s="73" t="s">
        <v>841</v>
      </c>
      <c r="H81" s="74">
        <v>0</v>
      </c>
      <c r="I81" s="74">
        <v>0</v>
      </c>
      <c r="J81" s="74"/>
      <c r="K81" s="74">
        <v>0</v>
      </c>
      <c r="L81" s="74">
        <v>0</v>
      </c>
      <c r="M81" s="74"/>
      <c r="N81" s="74">
        <v>0</v>
      </c>
      <c r="O81" s="74">
        <v>-1500</v>
      </c>
      <c r="P81" s="26">
        <f>SUM(Table134726[[#This Row],[Cargos Bancarios]:[Avance]])+P80</f>
        <v>64559.986000000034</v>
      </c>
    </row>
    <row r="82" spans="2:16" ht="16.5" customHeight="1" x14ac:dyDescent="0.45">
      <c r="B82" s="72">
        <v>45713</v>
      </c>
      <c r="C82" s="73"/>
      <c r="D82" s="73"/>
      <c r="E82" s="73"/>
      <c r="F82" s="73" t="s">
        <v>834</v>
      </c>
      <c r="G82" s="73" t="s">
        <v>875</v>
      </c>
      <c r="H82" s="74">
        <v>0</v>
      </c>
      <c r="I82" s="74">
        <v>0</v>
      </c>
      <c r="J82" s="74"/>
      <c r="K82" s="74">
        <v>0</v>
      </c>
      <c r="L82" s="74">
        <v>0</v>
      </c>
      <c r="M82" s="74"/>
      <c r="N82" s="74">
        <v>0</v>
      </c>
      <c r="O82" s="74">
        <v>-1114.98</v>
      </c>
      <c r="P82" s="26">
        <f>SUM(Table134726[[#This Row],[Cargos Bancarios]:[Avance]])+P81</f>
        <v>63445.00600000003</v>
      </c>
    </row>
    <row r="83" spans="2:16" ht="16.5" customHeight="1" x14ac:dyDescent="0.45">
      <c r="B83" s="72">
        <v>45724</v>
      </c>
      <c r="C83" s="73"/>
      <c r="D83" s="73"/>
      <c r="E83" s="73"/>
      <c r="F83" s="73" t="s">
        <v>50</v>
      </c>
      <c r="G83" s="73" t="s">
        <v>841</v>
      </c>
      <c r="H83" s="74">
        <v>0</v>
      </c>
      <c r="I83" s="74">
        <v>0</v>
      </c>
      <c r="J83" s="74"/>
      <c r="K83" s="74">
        <v>0</v>
      </c>
      <c r="L83" s="74">
        <v>0</v>
      </c>
      <c r="M83" s="74"/>
      <c r="N83" s="74">
        <v>0</v>
      </c>
      <c r="O83" s="74">
        <v>-5000</v>
      </c>
      <c r="P83" s="26">
        <f>SUM(Table134726[[#This Row],[Cargos Bancarios]:[Avance]])+P82</f>
        <v>58445.00600000003</v>
      </c>
    </row>
    <row r="84" spans="2:16" ht="16.5" customHeight="1" x14ac:dyDescent="0.45">
      <c r="B84" s="72">
        <v>45734</v>
      </c>
      <c r="C84" s="73"/>
      <c r="D84" s="73"/>
      <c r="E84" s="73"/>
      <c r="F84" s="73" t="s">
        <v>744</v>
      </c>
      <c r="G84" s="73" t="s">
        <v>876</v>
      </c>
      <c r="H84" s="74">
        <v>0</v>
      </c>
      <c r="I84" s="74">
        <v>0</v>
      </c>
      <c r="J84" s="74"/>
      <c r="K84" s="74">
        <v>0</v>
      </c>
      <c r="L84" s="74">
        <v>0</v>
      </c>
      <c r="M84" s="74"/>
      <c r="N84" s="74">
        <v>0</v>
      </c>
      <c r="O84" s="74">
        <v>-642.53500000000008</v>
      </c>
      <c r="P84" s="26">
        <f>SUM(Table134726[[#This Row],[Cargos Bancarios]:[Avance]])+P83</f>
        <v>57802.471000000027</v>
      </c>
    </row>
    <row r="85" spans="2:16" ht="16.5" customHeight="1" x14ac:dyDescent="0.45">
      <c r="B85" s="72">
        <v>45751</v>
      </c>
      <c r="C85" s="73"/>
      <c r="D85" s="73"/>
      <c r="E85" s="73"/>
      <c r="F85" s="73" t="s">
        <v>823</v>
      </c>
      <c r="G85" s="73" t="s">
        <v>877</v>
      </c>
      <c r="H85" s="74">
        <v>0</v>
      </c>
      <c r="I85" s="74">
        <v>0</v>
      </c>
      <c r="J85" s="74"/>
      <c r="K85" s="74">
        <v>0</v>
      </c>
      <c r="L85" s="74">
        <v>0</v>
      </c>
      <c r="M85" s="74"/>
      <c r="N85" s="74">
        <v>0</v>
      </c>
      <c r="O85" s="74">
        <v>-343.31</v>
      </c>
      <c r="P85" s="26">
        <f>SUM(Table134726[[#This Row],[Cargos Bancarios]:[Avance]])+P84</f>
        <v>57459.161000000029</v>
      </c>
    </row>
    <row r="86" spans="2:16" ht="16.5" customHeight="1" x14ac:dyDescent="0.45">
      <c r="B86" s="72">
        <v>45757</v>
      </c>
      <c r="C86" s="73"/>
      <c r="D86" s="73"/>
      <c r="E86" s="73"/>
      <c r="F86" s="73" t="s">
        <v>50</v>
      </c>
      <c r="G86" s="73" t="s">
        <v>841</v>
      </c>
      <c r="H86" s="74">
        <v>0</v>
      </c>
      <c r="I86" s="74">
        <v>0</v>
      </c>
      <c r="J86" s="74"/>
      <c r="K86" s="74">
        <v>0</v>
      </c>
      <c r="L86" s="74">
        <v>0</v>
      </c>
      <c r="M86" s="74"/>
      <c r="N86" s="74">
        <v>0</v>
      </c>
      <c r="O86" s="74">
        <v>-10000</v>
      </c>
      <c r="P86" s="26">
        <f>SUM(Table134726[[#This Row],[Cargos Bancarios]:[Avance]])+P85</f>
        <v>47459.161000000029</v>
      </c>
    </row>
    <row r="87" spans="2:16" ht="16.5" customHeight="1" x14ac:dyDescent="0.45">
      <c r="B87" s="72">
        <v>45760</v>
      </c>
      <c r="C87" s="73"/>
      <c r="D87" s="73"/>
      <c r="E87" s="73"/>
      <c r="F87" s="73" t="s">
        <v>835</v>
      </c>
      <c r="G87" s="73" t="s">
        <v>878</v>
      </c>
      <c r="H87" s="74">
        <v>0</v>
      </c>
      <c r="I87" s="74">
        <v>0</v>
      </c>
      <c r="J87" s="74"/>
      <c r="K87" s="74">
        <v>0</v>
      </c>
      <c r="L87" s="74">
        <v>0</v>
      </c>
      <c r="M87" s="74"/>
      <c r="N87" s="74">
        <v>0</v>
      </c>
      <c r="O87" s="74">
        <v>-132.01499999999999</v>
      </c>
      <c r="P87" s="26">
        <f>SUM(Table134726[[#This Row],[Cargos Bancarios]:[Avance]])+P86</f>
        <v>47327.14600000003</v>
      </c>
    </row>
    <row r="88" spans="2:16" ht="16.5" customHeight="1" x14ac:dyDescent="0.45">
      <c r="B88" s="72">
        <v>45760</v>
      </c>
      <c r="C88" s="73"/>
      <c r="D88" s="73"/>
      <c r="E88" s="73"/>
      <c r="F88" s="73" t="s">
        <v>835</v>
      </c>
      <c r="G88" s="73" t="s">
        <v>879</v>
      </c>
      <c r="H88" s="74">
        <v>0</v>
      </c>
      <c r="I88" s="74">
        <v>0</v>
      </c>
      <c r="J88" s="74"/>
      <c r="K88" s="74">
        <v>0</v>
      </c>
      <c r="L88" s="74">
        <v>0</v>
      </c>
      <c r="M88" s="74"/>
      <c r="N88" s="74">
        <v>0</v>
      </c>
      <c r="O88" s="74">
        <v>-77.78</v>
      </c>
      <c r="P88" s="26">
        <f>SUM(Table134726[[#This Row],[Cargos Bancarios]:[Avance]])+P87</f>
        <v>47249.366000000031</v>
      </c>
    </row>
    <row r="89" spans="2:16" ht="16.5" customHeight="1" x14ac:dyDescent="0.45">
      <c r="B89" s="72">
        <v>45762</v>
      </c>
      <c r="C89" s="73"/>
      <c r="D89" s="73"/>
      <c r="E89" s="73"/>
      <c r="F89" s="73" t="s">
        <v>836</v>
      </c>
      <c r="G89" s="73" t="s">
        <v>880</v>
      </c>
      <c r="H89" s="74">
        <v>0</v>
      </c>
      <c r="I89" s="74">
        <v>0</v>
      </c>
      <c r="J89" s="74"/>
      <c r="K89" s="74">
        <v>0</v>
      </c>
      <c r="L89" s="74">
        <v>0</v>
      </c>
      <c r="M89" s="74"/>
      <c r="N89" s="74">
        <v>0</v>
      </c>
      <c r="O89" s="74">
        <v>-805.55</v>
      </c>
      <c r="P89" s="26">
        <f>SUM(Table134726[[#This Row],[Cargos Bancarios]:[Avance]])+P88</f>
        <v>46443.816000000028</v>
      </c>
    </row>
    <row r="90" spans="2:16" ht="16.5" customHeight="1" x14ac:dyDescent="0.45">
      <c r="B90" s="72">
        <v>45768</v>
      </c>
      <c r="C90" s="73"/>
      <c r="D90" s="73"/>
      <c r="E90" s="73"/>
      <c r="F90" s="73" t="s">
        <v>837</v>
      </c>
      <c r="G90" s="73" t="s">
        <v>881</v>
      </c>
      <c r="H90" s="74"/>
      <c r="I90" s="74">
        <v>0</v>
      </c>
      <c r="J90" s="74"/>
      <c r="K90" s="74">
        <v>0</v>
      </c>
      <c r="L90" s="74">
        <v>0</v>
      </c>
      <c r="M90" s="74"/>
      <c r="N90" s="74">
        <v>0</v>
      </c>
      <c r="O90" s="74">
        <v>-19.989999999999998</v>
      </c>
      <c r="P90" s="26">
        <f>SUM(Table134726[[#This Row],[Cargos Bancarios]:[Avance]])+P89</f>
        <v>46423.82600000003</v>
      </c>
    </row>
    <row r="91" spans="2:16" ht="16.5" customHeight="1" x14ac:dyDescent="0.45">
      <c r="B91" s="72">
        <v>45776</v>
      </c>
      <c r="C91" s="73"/>
      <c r="D91" s="73"/>
      <c r="E91" s="73"/>
      <c r="F91" s="73" t="s">
        <v>823</v>
      </c>
      <c r="G91" s="73" t="s">
        <v>882</v>
      </c>
      <c r="H91" s="74">
        <v>0</v>
      </c>
      <c r="I91" s="74">
        <v>0</v>
      </c>
      <c r="J91" s="74"/>
      <c r="K91" s="74">
        <v>0</v>
      </c>
      <c r="L91" s="74">
        <v>0</v>
      </c>
      <c r="M91" s="74"/>
      <c r="N91" s="74">
        <v>0</v>
      </c>
      <c r="O91" s="74">
        <v>-323.44</v>
      </c>
      <c r="P91" s="26">
        <f>SUM(Table134726[[#This Row],[Cargos Bancarios]:[Avance]])+P90</f>
        <v>46100.386000000028</v>
      </c>
    </row>
    <row r="92" spans="2:16" ht="16.5" customHeight="1" x14ac:dyDescent="0.45">
      <c r="B92" s="72">
        <v>45856</v>
      </c>
      <c r="C92" s="73"/>
      <c r="D92" s="73"/>
      <c r="E92" s="73"/>
      <c r="F92" s="73" t="s">
        <v>50</v>
      </c>
      <c r="G92" s="73" t="s">
        <v>883</v>
      </c>
      <c r="H92" s="74">
        <v>0</v>
      </c>
      <c r="I92" s="74">
        <v>0</v>
      </c>
      <c r="J92" s="74"/>
      <c r="K92" s="74">
        <v>0</v>
      </c>
      <c r="L92" s="74">
        <v>0</v>
      </c>
      <c r="M92" s="74"/>
      <c r="N92" s="74">
        <v>0</v>
      </c>
      <c r="O92" s="74">
        <v>-23182</v>
      </c>
      <c r="P92" s="26">
        <f>SUM(Table134726[[#This Row],[Cargos Bancarios]:[Avance]])+P91</f>
        <v>22918.386000000028</v>
      </c>
    </row>
    <row r="93" spans="2:16" ht="16.5" customHeight="1" x14ac:dyDescent="0.45">
      <c r="B93" s="72">
        <v>45787</v>
      </c>
      <c r="C93" s="73"/>
      <c r="D93" s="73"/>
      <c r="E93" s="73"/>
      <c r="F93" s="73" t="s">
        <v>50</v>
      </c>
      <c r="G93" s="73" t="s">
        <v>884</v>
      </c>
      <c r="H93" s="74">
        <v>0</v>
      </c>
      <c r="I93" s="74">
        <v>0</v>
      </c>
      <c r="J93" s="74"/>
      <c r="K93" s="74">
        <v>0</v>
      </c>
      <c r="L93" s="74">
        <v>0</v>
      </c>
      <c r="M93" s="74"/>
      <c r="N93" s="74">
        <v>0</v>
      </c>
      <c r="O93" s="74">
        <v>-7500</v>
      </c>
      <c r="P93" s="26">
        <f>SUM(Table134726[[#This Row],[Cargos Bancarios]:[Avance]])+P92</f>
        <v>15418.386000000028</v>
      </c>
    </row>
    <row r="94" spans="2:16" ht="16.5" customHeight="1" x14ac:dyDescent="0.45">
      <c r="B94" s="72">
        <v>45790</v>
      </c>
      <c r="C94" s="73"/>
      <c r="D94" s="73"/>
      <c r="E94" s="73"/>
      <c r="F94" s="73" t="s">
        <v>50</v>
      </c>
      <c r="G94" s="73" t="s">
        <v>841</v>
      </c>
      <c r="H94" s="74">
        <v>0</v>
      </c>
      <c r="I94" s="74">
        <v>0</v>
      </c>
      <c r="J94" s="74"/>
      <c r="K94" s="74">
        <v>0</v>
      </c>
      <c r="L94" s="74">
        <v>0</v>
      </c>
      <c r="M94" s="74"/>
      <c r="N94" s="74">
        <v>0</v>
      </c>
      <c r="O94" s="74">
        <v>-10000</v>
      </c>
      <c r="P94" s="26">
        <f>SUM(Table134726[[#This Row],[Cargos Bancarios]:[Avance]])+P93</f>
        <v>5418.3860000000277</v>
      </c>
    </row>
    <row r="95" spans="2:16" ht="16.5" customHeight="1" x14ac:dyDescent="0.45">
      <c r="B95" s="72">
        <v>45804</v>
      </c>
      <c r="C95" s="73"/>
      <c r="D95" s="73"/>
      <c r="E95" s="73"/>
      <c r="F95" s="73" t="s">
        <v>744</v>
      </c>
      <c r="G95" s="73" t="s">
        <v>885</v>
      </c>
      <c r="H95" s="74">
        <v>0</v>
      </c>
      <c r="I95" s="74">
        <v>0</v>
      </c>
      <c r="J95" s="74"/>
      <c r="K95" s="74">
        <v>0</v>
      </c>
      <c r="L95" s="74">
        <v>0</v>
      </c>
      <c r="M95" s="74"/>
      <c r="N95" s="74">
        <v>0</v>
      </c>
      <c r="O95" s="74">
        <v>-131.12</v>
      </c>
      <c r="P95" s="26">
        <f>SUM(Table134726[[#This Row],[Cargos Bancarios]:[Avance]])+P94</f>
        <v>5287.2660000000278</v>
      </c>
    </row>
    <row r="96" spans="2:16" ht="16.5" customHeight="1" x14ac:dyDescent="0.45">
      <c r="B96" s="72">
        <v>45805</v>
      </c>
      <c r="C96" s="73"/>
      <c r="D96" s="73"/>
      <c r="E96" s="73"/>
      <c r="F96" s="73" t="s">
        <v>823</v>
      </c>
      <c r="G96" s="73" t="s">
        <v>886</v>
      </c>
      <c r="H96" s="74">
        <v>0</v>
      </c>
      <c r="I96" s="74">
        <v>0</v>
      </c>
      <c r="J96" s="74"/>
      <c r="K96" s="74">
        <v>0</v>
      </c>
      <c r="L96" s="74">
        <v>0</v>
      </c>
      <c r="M96" s="74"/>
      <c r="N96" s="74">
        <v>0</v>
      </c>
      <c r="O96" s="74">
        <v>-176.34</v>
      </c>
      <c r="P96" s="26">
        <f>SUM(Table134726[[#This Row],[Cargos Bancarios]:[Avance]])+P95</f>
        <v>5110.9260000000277</v>
      </c>
    </row>
    <row r="97" spans="2:16" ht="16.5" customHeight="1" x14ac:dyDescent="0.45">
      <c r="B97" s="72">
        <v>45828</v>
      </c>
      <c r="C97" s="73"/>
      <c r="D97" s="73"/>
      <c r="E97" s="73"/>
      <c r="F97" s="73" t="s">
        <v>838</v>
      </c>
      <c r="G97" s="73" t="s">
        <v>887</v>
      </c>
      <c r="H97" s="74">
        <v>3000</v>
      </c>
      <c r="I97" s="74">
        <v>0</v>
      </c>
      <c r="J97" s="74"/>
      <c r="K97" s="74">
        <v>0</v>
      </c>
      <c r="L97" s="74">
        <v>0</v>
      </c>
      <c r="M97" s="74"/>
      <c r="N97" s="74">
        <v>3000</v>
      </c>
      <c r="O97" s="74">
        <v>0</v>
      </c>
      <c r="P97" s="26">
        <f>SUM(Table134726[[#This Row],[Cargos Bancarios]:[Avance]])+P96</f>
        <v>8110.9260000000277</v>
      </c>
    </row>
    <row r="98" spans="2:16" ht="16.5" customHeight="1" x14ac:dyDescent="0.45">
      <c r="B98" s="72">
        <v>45828</v>
      </c>
      <c r="C98" s="73"/>
      <c r="D98" s="73"/>
      <c r="E98" s="73"/>
      <c r="F98" s="73" t="s">
        <v>839</v>
      </c>
      <c r="G98" s="73" t="s">
        <v>888</v>
      </c>
      <c r="H98" s="74">
        <v>0</v>
      </c>
      <c r="I98" s="74">
        <v>0</v>
      </c>
      <c r="J98" s="74"/>
      <c r="K98" s="74">
        <v>0</v>
      </c>
      <c r="L98" s="74">
        <v>0</v>
      </c>
      <c r="M98" s="74"/>
      <c r="N98" s="74">
        <v>0</v>
      </c>
      <c r="O98" s="74">
        <v>-2740</v>
      </c>
      <c r="P98" s="26">
        <f>SUM(Table134726[[#This Row],[Cargos Bancarios]:[Avance]])+P97</f>
        <v>5370.9260000000277</v>
      </c>
    </row>
    <row r="99" spans="2:16" ht="16.5" customHeight="1" x14ac:dyDescent="0.45">
      <c r="B99" s="72">
        <v>45862</v>
      </c>
      <c r="C99" s="73"/>
      <c r="D99" s="73"/>
      <c r="E99" s="73"/>
      <c r="F99" s="73" t="s">
        <v>50</v>
      </c>
      <c r="G99" s="73" t="s">
        <v>841</v>
      </c>
      <c r="H99" s="74">
        <v>0</v>
      </c>
      <c r="I99" s="74">
        <v>0</v>
      </c>
      <c r="J99" s="74"/>
      <c r="K99" s="74">
        <v>0</v>
      </c>
      <c r="L99" s="74">
        <v>0</v>
      </c>
      <c r="M99" s="74"/>
      <c r="N99" s="74">
        <v>0</v>
      </c>
      <c r="O99" s="74">
        <v>-1870.93</v>
      </c>
      <c r="P99" s="26">
        <f>SUM(Table134726[[#This Row],[Cargos Bancarios]:[Avance]])+P98</f>
        <v>3499.9960000000274</v>
      </c>
    </row>
    <row r="100" spans="2:16" ht="16.5" customHeight="1" thickBot="1" x14ac:dyDescent="0.5">
      <c r="B100" s="72">
        <v>45862</v>
      </c>
      <c r="C100" s="73"/>
      <c r="D100" s="73"/>
      <c r="E100" s="73"/>
      <c r="F100" s="73" t="s">
        <v>50</v>
      </c>
      <c r="G100" s="73" t="s">
        <v>841</v>
      </c>
      <c r="H100" s="74">
        <v>0</v>
      </c>
      <c r="I100" s="74">
        <v>0</v>
      </c>
      <c r="J100" s="74"/>
      <c r="K100" s="74">
        <v>0</v>
      </c>
      <c r="L100" s="74">
        <v>0</v>
      </c>
      <c r="M100" s="74"/>
      <c r="N100" s="74">
        <v>0</v>
      </c>
      <c r="O100" s="74">
        <v>-3500</v>
      </c>
      <c r="P100" s="26">
        <f>SUM(Table134726[[#This Row],[Cargos Bancarios]:[Avance]])+P99</f>
        <v>-3.9999999726205715E-3</v>
      </c>
    </row>
    <row r="101" spans="2:16" ht="16.5" customHeight="1" thickBot="1" x14ac:dyDescent="0.5">
      <c r="B101" s="22"/>
      <c r="C101" s="23"/>
      <c r="D101" s="23"/>
      <c r="E101" s="23"/>
      <c r="F101" s="23"/>
      <c r="G101" s="34" t="s">
        <v>356</v>
      </c>
      <c r="H101" s="35">
        <f>SUBTOTAL(109,Table134726[Valor de la Factura del Cliente])</f>
        <v>303000</v>
      </c>
      <c r="I101" s="35">
        <f>SUBTOTAL(109,Table134726[Cargos Bancarios])</f>
        <v>-75</v>
      </c>
      <c r="J101" s="35"/>
      <c r="K101" s="35">
        <f>SUBTOTAL(109,Table134726[20% Comisión])</f>
        <v>-60000</v>
      </c>
      <c r="L101" s="35">
        <f>SUBTOTAL(109,Table134726[5% Legal])</f>
        <v>-15000</v>
      </c>
      <c r="M101" s="35">
        <f>SUBTOTAL(109,Table134726[Retención de Impuestos])</f>
        <v>0</v>
      </c>
      <c r="N101" s="35">
        <f>SUBTOTAL(109,Table134726[Pagado por MVPX])</f>
        <v>243218.2</v>
      </c>
      <c r="O101" s="35">
        <f>SUBTOTAL(109,Table134726[Avance])</f>
        <v>-228143.20399999991</v>
      </c>
      <c r="P101" s="36">
        <f>+P100</f>
        <v>-3.9999999726205715E-3</v>
      </c>
    </row>
  </sheetData>
  <mergeCells count="1">
    <mergeCell ref="B7:P7"/>
  </mergeCells>
  <printOptions horizontalCentered="1"/>
  <pageMargins left="0.25" right="0.25" top="0.75" bottom="0.75" header="0.3" footer="0.3"/>
  <pageSetup scale="46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7ABD-E3A1-4AB8-866A-980693F64CCE}">
  <sheetPr>
    <pageSetUpPr fitToPage="1"/>
  </sheetPr>
  <dimension ref="B1:P127"/>
  <sheetViews>
    <sheetView showGridLines="0" view="pageLayout" topLeftCell="G1" zoomScale="70" zoomScaleNormal="100" zoomScaleSheetLayoutView="70" zoomScalePageLayoutView="70" workbookViewId="0">
      <selection activeCell="P128" sqref="P128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21.5703125" style="8" bestFit="1" customWidth="1"/>
    <col min="15" max="15" width="14" style="8" customWidth="1"/>
    <col min="16" max="16" width="18" style="8" bestFit="1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12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71" t="s">
        <v>709</v>
      </c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MIN(Table134725[Fecha])</f>
        <v>45056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MAX(Table134725[Fecha])</f>
        <v>45938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 t="s">
        <v>14</v>
      </c>
      <c r="C9" s="24"/>
      <c r="D9" s="24"/>
      <c r="E9" s="24"/>
      <c r="F9" s="66" t="s">
        <v>17</v>
      </c>
      <c r="G9" s="65" t="s">
        <v>751</v>
      </c>
      <c r="H9" s="25"/>
      <c r="I9" s="25"/>
      <c r="J9" s="25"/>
      <c r="K9" s="25"/>
      <c r="L9" s="25"/>
      <c r="M9" s="25"/>
      <c r="N9" s="25">
        <v>-1257.9299999999998</v>
      </c>
      <c r="O9" s="25"/>
      <c r="P9" s="26">
        <f>SUM(Table134725[[#This Row],[Valor de la Factura del Cliente]:[Avance]])</f>
        <v>-1257.9299999999998</v>
      </c>
    </row>
    <row r="10" spans="2:16" s="12" customFormat="1" ht="16.5" customHeight="1" x14ac:dyDescent="0.25">
      <c r="B10" s="47" t="s">
        <v>14</v>
      </c>
      <c r="C10" s="27"/>
      <c r="D10" s="27"/>
      <c r="E10" s="27"/>
      <c r="F10" s="27" t="s">
        <v>710</v>
      </c>
      <c r="G10" s="65" t="s">
        <v>751</v>
      </c>
      <c r="H10" s="28"/>
      <c r="I10" s="28"/>
      <c r="J10" s="28"/>
      <c r="K10" s="28"/>
      <c r="L10" s="28"/>
      <c r="M10" s="28"/>
      <c r="N10" s="28">
        <v>-301.46166666666613</v>
      </c>
      <c r="O10" s="28"/>
      <c r="P10" s="26">
        <f>SUM(Table134725[[#This Row],[Valor de la Factura del Cliente]:[Avance]])+P9</f>
        <v>-1559.391666666666</v>
      </c>
    </row>
    <row r="11" spans="2:16" s="12" customFormat="1" ht="16.5" customHeight="1" x14ac:dyDescent="0.25">
      <c r="B11" s="47" t="s">
        <v>14</v>
      </c>
      <c r="C11" s="27"/>
      <c r="D11" s="27"/>
      <c r="E11" s="27"/>
      <c r="F11" s="27" t="s">
        <v>711</v>
      </c>
      <c r="G11" s="65" t="s">
        <v>751</v>
      </c>
      <c r="H11" s="28"/>
      <c r="I11" s="28"/>
      <c r="J11" s="28"/>
      <c r="K11" s="28"/>
      <c r="L11" s="28"/>
      <c r="M11" s="28"/>
      <c r="N11" s="28">
        <v>-4788.3533333333344</v>
      </c>
      <c r="O11" s="28"/>
      <c r="P11" s="26">
        <f>SUM(Table134725[[#This Row],[Valor de la Factura del Cliente]:[Avance]])+P10</f>
        <v>-6347.7450000000008</v>
      </c>
    </row>
    <row r="12" spans="2:16" s="12" customFormat="1" ht="16.5" customHeight="1" x14ac:dyDescent="0.25">
      <c r="B12" s="47">
        <v>45056</v>
      </c>
      <c r="C12" s="27"/>
      <c r="D12" s="27"/>
      <c r="E12" s="27"/>
      <c r="F12" s="27" t="s">
        <v>712</v>
      </c>
      <c r="G12" s="65" t="s">
        <v>752</v>
      </c>
      <c r="H12" s="28"/>
      <c r="I12" s="28"/>
      <c r="J12" s="28"/>
      <c r="K12" s="28"/>
      <c r="L12" s="28"/>
      <c r="M12" s="28"/>
      <c r="N12" s="28">
        <v>-560</v>
      </c>
      <c r="O12" s="28"/>
      <c r="P12" s="26">
        <f>SUM(Table134725[[#This Row],[Valor de la Factura del Cliente]:[Avance]])+P11</f>
        <v>-6907.7450000000008</v>
      </c>
    </row>
    <row r="13" spans="2:16" s="12" customFormat="1" ht="16.5" customHeight="1" x14ac:dyDescent="0.25">
      <c r="B13" s="47">
        <v>45097</v>
      </c>
      <c r="C13" s="27"/>
      <c r="D13" s="27"/>
      <c r="E13" s="27"/>
      <c r="F13" s="27" t="s">
        <v>713</v>
      </c>
      <c r="G13" s="65" t="s">
        <v>753</v>
      </c>
      <c r="H13" s="28"/>
      <c r="I13" s="28"/>
      <c r="J13" s="28"/>
      <c r="K13" s="28"/>
      <c r="L13" s="28"/>
      <c r="M13" s="28"/>
      <c r="N13" s="28">
        <v>-391.01</v>
      </c>
      <c r="O13" s="28"/>
      <c r="P13" s="26">
        <f>SUM(Table134725[[#This Row],[Valor de la Factura del Cliente]:[Avance]])+P12</f>
        <v>-7298.755000000001</v>
      </c>
    </row>
    <row r="14" spans="2:16" s="12" customFormat="1" ht="16.5" customHeight="1" x14ac:dyDescent="0.25">
      <c r="B14" s="47">
        <v>45128</v>
      </c>
      <c r="C14" s="27"/>
      <c r="D14" s="27"/>
      <c r="E14" s="27"/>
      <c r="F14" s="27" t="s">
        <v>714</v>
      </c>
      <c r="G14" s="65" t="s">
        <v>754</v>
      </c>
      <c r="H14" s="28"/>
      <c r="I14" s="28"/>
      <c r="J14" s="28"/>
      <c r="K14" s="28"/>
      <c r="L14" s="28"/>
      <c r="M14" s="28"/>
      <c r="N14" s="28">
        <v>-1000</v>
      </c>
      <c r="O14" s="28"/>
      <c r="P14" s="26">
        <f>SUM(Table134725[[#This Row],[Valor de la Factura del Cliente]:[Avance]])+P13</f>
        <v>-8298.755000000001</v>
      </c>
    </row>
    <row r="15" spans="2:16" s="12" customFormat="1" ht="16.5" customHeight="1" x14ac:dyDescent="0.25">
      <c r="B15" s="47">
        <v>45153</v>
      </c>
      <c r="C15" s="27"/>
      <c r="D15" s="27"/>
      <c r="E15" s="27"/>
      <c r="F15" s="27" t="s">
        <v>714</v>
      </c>
      <c r="G15" s="65" t="s">
        <v>754</v>
      </c>
      <c r="H15" s="28"/>
      <c r="I15" s="28"/>
      <c r="J15" s="28"/>
      <c r="K15" s="28"/>
      <c r="L15" s="28"/>
      <c r="M15" s="28"/>
      <c r="N15" s="28">
        <v>-1000</v>
      </c>
      <c r="O15" s="28"/>
      <c r="P15" s="26">
        <f>SUM(Table134725[[#This Row],[Valor de la Factura del Cliente]:[Avance]])+P14</f>
        <v>-9298.755000000001</v>
      </c>
    </row>
    <row r="16" spans="2:16" s="12" customFormat="1" ht="16.5" customHeight="1" x14ac:dyDescent="0.25">
      <c r="B16" s="47">
        <v>45166</v>
      </c>
      <c r="C16" s="27"/>
      <c r="D16" s="27"/>
      <c r="E16" s="27"/>
      <c r="F16" s="27" t="s">
        <v>715</v>
      </c>
      <c r="G16" s="65" t="s">
        <v>755</v>
      </c>
      <c r="H16" s="28"/>
      <c r="I16" s="28"/>
      <c r="J16" s="28"/>
      <c r="K16" s="28"/>
      <c r="L16" s="28"/>
      <c r="M16" s="28"/>
      <c r="N16" s="28">
        <v>-66.22</v>
      </c>
      <c r="O16" s="28"/>
      <c r="P16" s="26">
        <f>SUM(Table134725[[#This Row],[Valor de la Factura del Cliente]:[Avance]])+P15</f>
        <v>-9364.9750000000004</v>
      </c>
    </row>
    <row r="17" spans="2:16" s="12" customFormat="1" ht="16.5" customHeight="1" x14ac:dyDescent="0.25">
      <c r="B17" s="47">
        <v>45165</v>
      </c>
      <c r="C17" s="27"/>
      <c r="D17" s="27"/>
      <c r="E17" s="27"/>
      <c r="F17" s="27" t="s">
        <v>716</v>
      </c>
      <c r="G17" s="65" t="s">
        <v>735</v>
      </c>
      <c r="H17" s="28"/>
      <c r="I17" s="28"/>
      <c r="J17" s="28"/>
      <c r="K17" s="28"/>
      <c r="L17" s="28"/>
      <c r="M17" s="28"/>
      <c r="N17" s="28">
        <v>-244</v>
      </c>
      <c r="O17" s="28"/>
      <c r="P17" s="26">
        <f>SUM(Table134725[[#This Row],[Valor de la Factura del Cliente]:[Avance]])+P16</f>
        <v>-9608.9750000000004</v>
      </c>
    </row>
    <row r="18" spans="2:16" s="12" customFormat="1" ht="16.5" customHeight="1" x14ac:dyDescent="0.25">
      <c r="B18" s="47">
        <v>45175</v>
      </c>
      <c r="C18" s="27"/>
      <c r="D18" s="27"/>
      <c r="E18" s="27"/>
      <c r="F18" s="27" t="s">
        <v>716</v>
      </c>
      <c r="G18" s="65" t="s">
        <v>756</v>
      </c>
      <c r="H18" s="28"/>
      <c r="I18" s="28"/>
      <c r="J18" s="28"/>
      <c r="K18" s="28"/>
      <c r="L18" s="28"/>
      <c r="M18" s="28"/>
      <c r="N18" s="28">
        <v>-125</v>
      </c>
      <c r="O18" s="28"/>
      <c r="P18" s="26">
        <f>SUM(Table134725[[#This Row],[Valor de la Factura del Cliente]:[Avance]])+P17</f>
        <v>-9733.9750000000004</v>
      </c>
    </row>
    <row r="19" spans="2:16" s="12" customFormat="1" ht="16.5" customHeight="1" x14ac:dyDescent="0.25">
      <c r="B19" s="47">
        <v>45183</v>
      </c>
      <c r="C19" s="27"/>
      <c r="D19" s="27"/>
      <c r="E19" s="27"/>
      <c r="F19" s="27" t="s">
        <v>378</v>
      </c>
      <c r="G19" s="65" t="s">
        <v>753</v>
      </c>
      <c r="H19" s="28"/>
      <c r="I19" s="28"/>
      <c r="J19" s="28"/>
      <c r="K19" s="28"/>
      <c r="L19" s="28"/>
      <c r="M19" s="28"/>
      <c r="N19" s="28">
        <v>-2000</v>
      </c>
      <c r="O19" s="28"/>
      <c r="P19" s="26">
        <f>SUM(Table134725[[#This Row],[Valor de la Factura del Cliente]:[Avance]])+P18</f>
        <v>-11733.975</v>
      </c>
    </row>
    <row r="20" spans="2:16" s="12" customFormat="1" ht="16.5" customHeight="1" x14ac:dyDescent="0.25">
      <c r="B20" s="47">
        <v>45184</v>
      </c>
      <c r="C20" s="27"/>
      <c r="D20" s="27"/>
      <c r="E20" s="27"/>
      <c r="F20" s="27" t="s">
        <v>378</v>
      </c>
      <c r="G20" s="65" t="s">
        <v>757</v>
      </c>
      <c r="H20" s="28"/>
      <c r="I20" s="28"/>
      <c r="J20" s="28"/>
      <c r="K20" s="28"/>
      <c r="L20" s="28"/>
      <c r="M20" s="28"/>
      <c r="N20" s="28">
        <v>-7000</v>
      </c>
      <c r="O20" s="28"/>
      <c r="P20" s="26">
        <f>SUM(Table134725[[#This Row],[Valor de la Factura del Cliente]:[Avance]])+P19</f>
        <v>-18733.974999999999</v>
      </c>
    </row>
    <row r="21" spans="2:16" s="12" customFormat="1" ht="16.5" customHeight="1" x14ac:dyDescent="0.25">
      <c r="B21" s="47">
        <v>45211</v>
      </c>
      <c r="C21" s="27"/>
      <c r="D21" s="27"/>
      <c r="E21" s="27"/>
      <c r="F21" s="27" t="s">
        <v>12</v>
      </c>
      <c r="G21" s="65" t="s">
        <v>758</v>
      </c>
      <c r="H21" s="28"/>
      <c r="I21" s="28"/>
      <c r="J21" s="28"/>
      <c r="K21" s="28"/>
      <c r="L21" s="28"/>
      <c r="M21" s="28"/>
      <c r="N21" s="28">
        <v>-1000</v>
      </c>
      <c r="O21" s="28"/>
      <c r="P21" s="26">
        <f>SUM(Table134725[[#This Row],[Valor de la Factura del Cliente]:[Avance]])+P20</f>
        <v>-19733.974999999999</v>
      </c>
    </row>
    <row r="22" spans="2:16" s="12" customFormat="1" ht="16.5" customHeight="1" x14ac:dyDescent="0.25">
      <c r="B22" s="47">
        <v>45218</v>
      </c>
      <c r="C22" s="27"/>
      <c r="D22" s="27"/>
      <c r="E22" s="27"/>
      <c r="F22" s="27" t="s">
        <v>717</v>
      </c>
      <c r="G22" s="65" t="s">
        <v>759</v>
      </c>
      <c r="H22" s="28"/>
      <c r="I22" s="28"/>
      <c r="J22" s="28"/>
      <c r="K22" s="28"/>
      <c r="L22" s="28"/>
      <c r="M22" s="28"/>
      <c r="N22" s="28">
        <v>-21.43</v>
      </c>
      <c r="O22" s="28"/>
      <c r="P22" s="26">
        <f>SUM(Table134725[[#This Row],[Valor de la Factura del Cliente]:[Avance]])+P21</f>
        <v>-19755.404999999999</v>
      </c>
    </row>
    <row r="23" spans="2:16" s="12" customFormat="1" ht="16.5" customHeight="1" x14ac:dyDescent="0.25">
      <c r="B23" s="47">
        <v>45219</v>
      </c>
      <c r="C23" s="27"/>
      <c r="D23" s="27"/>
      <c r="E23" s="27"/>
      <c r="F23" s="27" t="s">
        <v>718</v>
      </c>
      <c r="G23" s="65" t="s">
        <v>760</v>
      </c>
      <c r="H23" s="28"/>
      <c r="I23" s="28"/>
      <c r="J23" s="28"/>
      <c r="K23" s="28"/>
      <c r="L23" s="28"/>
      <c r="M23" s="28"/>
      <c r="N23" s="28">
        <v>-9000</v>
      </c>
      <c r="O23" s="28"/>
      <c r="P23" s="26">
        <f>SUM(Table134725[[#This Row],[Valor de la Factura del Cliente]:[Avance]])+P22</f>
        <v>-28755.404999999999</v>
      </c>
    </row>
    <row r="24" spans="2:16" s="12" customFormat="1" ht="16.5" customHeight="1" x14ac:dyDescent="0.25">
      <c r="B24" s="47">
        <v>45226</v>
      </c>
      <c r="C24" s="27"/>
      <c r="D24" s="27"/>
      <c r="E24" s="27"/>
      <c r="F24" s="27" t="s">
        <v>716</v>
      </c>
      <c r="G24" s="65" t="s">
        <v>735</v>
      </c>
      <c r="H24" s="28"/>
      <c r="I24" s="28"/>
      <c r="J24" s="28"/>
      <c r="K24" s="28"/>
      <c r="L24" s="28"/>
      <c r="M24" s="28"/>
      <c r="N24" s="28">
        <v>-9</v>
      </c>
      <c r="O24" s="28"/>
      <c r="P24" s="26">
        <f>SUM(Table134725[[#This Row],[Valor de la Factura del Cliente]:[Avance]])+P23</f>
        <v>-28764.404999999999</v>
      </c>
    </row>
    <row r="25" spans="2:16" s="12" customFormat="1" ht="16.5" customHeight="1" x14ac:dyDescent="0.25">
      <c r="B25" s="47">
        <v>45238</v>
      </c>
      <c r="C25" s="27"/>
      <c r="D25" s="27"/>
      <c r="E25" s="27"/>
      <c r="F25" s="27"/>
      <c r="G25" s="65" t="s">
        <v>761</v>
      </c>
      <c r="H25" s="28"/>
      <c r="I25" s="28"/>
      <c r="J25" s="28"/>
      <c r="K25" s="28"/>
      <c r="L25" s="28"/>
      <c r="M25" s="28"/>
      <c r="N25" s="28">
        <v>-8100</v>
      </c>
      <c r="O25" s="28"/>
      <c r="P25" s="26">
        <f>SUM(Table134725[[#This Row],[Valor de la Factura del Cliente]:[Avance]])+P24</f>
        <v>-36864.404999999999</v>
      </c>
    </row>
    <row r="26" spans="2:16" s="12" customFormat="1" ht="16.5" customHeight="1" x14ac:dyDescent="0.25">
      <c r="B26" s="47">
        <v>45244</v>
      </c>
      <c r="C26" s="27"/>
      <c r="D26" s="27"/>
      <c r="E26" s="27"/>
      <c r="F26" s="27" t="s">
        <v>719</v>
      </c>
      <c r="G26" s="65" t="s">
        <v>762</v>
      </c>
      <c r="H26" s="28"/>
      <c r="I26" s="28"/>
      <c r="J26" s="28"/>
      <c r="K26" s="28"/>
      <c r="L26" s="28"/>
      <c r="M26" s="28"/>
      <c r="N26" s="28">
        <v>-1315</v>
      </c>
      <c r="O26" s="28"/>
      <c r="P26" s="26">
        <f>SUM(Table134725[[#This Row],[Valor de la Factura del Cliente]:[Avance]])+P25</f>
        <v>-38179.404999999999</v>
      </c>
    </row>
    <row r="27" spans="2:16" s="12" customFormat="1" ht="16.5" customHeight="1" x14ac:dyDescent="0.25">
      <c r="B27" s="47">
        <v>45265</v>
      </c>
      <c r="C27" s="27"/>
      <c r="D27" s="27"/>
      <c r="E27" s="27"/>
      <c r="F27" s="27"/>
      <c r="G27" s="65" t="s">
        <v>763</v>
      </c>
      <c r="H27" s="28"/>
      <c r="I27" s="28"/>
      <c r="J27" s="28"/>
      <c r="K27" s="28"/>
      <c r="L27" s="28"/>
      <c r="M27" s="28"/>
      <c r="N27" s="28">
        <v>-615</v>
      </c>
      <c r="O27" s="28"/>
      <c r="P27" s="26">
        <f>SUM(Table134725[[#This Row],[Valor de la Factura del Cliente]:[Avance]])+P26</f>
        <v>-38794.404999999999</v>
      </c>
    </row>
    <row r="28" spans="2:16" s="12" customFormat="1" ht="16.5" customHeight="1" x14ac:dyDescent="0.25">
      <c r="B28" s="47">
        <v>45266</v>
      </c>
      <c r="C28" s="27"/>
      <c r="D28" s="27"/>
      <c r="E28" s="27"/>
      <c r="F28" s="27"/>
      <c r="G28" s="65" t="s">
        <v>764</v>
      </c>
      <c r="H28" s="28">
        <v>125000</v>
      </c>
      <c r="I28" s="28"/>
      <c r="J28" s="28"/>
      <c r="K28" s="28"/>
      <c r="L28" s="28"/>
      <c r="M28" s="28"/>
      <c r="N28" s="28">
        <v>0</v>
      </c>
      <c r="O28" s="28"/>
      <c r="P28" s="26">
        <f>SUM(Table134725[[#This Row],[Valor de la Factura del Cliente]:[Avance]])+P27</f>
        <v>86205.595000000001</v>
      </c>
    </row>
    <row r="29" spans="2:16" s="12" customFormat="1" ht="16.5" customHeight="1" x14ac:dyDescent="0.25">
      <c r="B29" s="47"/>
      <c r="C29" s="27"/>
      <c r="D29" s="27"/>
      <c r="E29" s="27"/>
      <c r="F29" s="27"/>
      <c r="G29" s="65" t="s">
        <v>765</v>
      </c>
      <c r="H29" s="28"/>
      <c r="I29" s="28"/>
      <c r="J29" s="28"/>
      <c r="K29" s="28"/>
      <c r="L29" s="28"/>
      <c r="M29" s="28"/>
      <c r="N29" s="28">
        <v>-17500</v>
      </c>
      <c r="O29" s="28"/>
      <c r="P29" s="26">
        <f>SUM(Table134725[[#This Row],[Valor de la Factura del Cliente]:[Avance]])+P28</f>
        <v>68705.595000000001</v>
      </c>
    </row>
    <row r="30" spans="2:16" s="12" customFormat="1" ht="16.5" customHeight="1" x14ac:dyDescent="0.25">
      <c r="B30" s="47"/>
      <c r="C30" s="27"/>
      <c r="D30" s="27"/>
      <c r="E30" s="27"/>
      <c r="F30" s="27"/>
      <c r="G30" s="65" t="s">
        <v>766</v>
      </c>
      <c r="H30" s="28"/>
      <c r="I30" s="28"/>
      <c r="J30" s="28"/>
      <c r="K30" s="28"/>
      <c r="L30" s="28"/>
      <c r="M30" s="28"/>
      <c r="N30" s="28">
        <v>-36000</v>
      </c>
      <c r="O30" s="28"/>
      <c r="P30" s="26">
        <f>SUM(Table134725[[#This Row],[Valor de la Factura del Cliente]:[Avance]])+P29</f>
        <v>32705.595000000001</v>
      </c>
    </row>
    <row r="31" spans="2:16" s="12" customFormat="1" ht="16.5" customHeight="1" x14ac:dyDescent="0.25">
      <c r="B31" s="47"/>
      <c r="C31" s="27"/>
      <c r="D31" s="27"/>
      <c r="E31" s="27"/>
      <c r="F31" s="27"/>
      <c r="G31" s="65" t="s">
        <v>21</v>
      </c>
      <c r="H31" s="28"/>
      <c r="I31" s="28"/>
      <c r="J31" s="28"/>
      <c r="K31" s="28"/>
      <c r="L31" s="28"/>
      <c r="M31" s="28"/>
      <c r="N31" s="28">
        <v>-36000</v>
      </c>
      <c r="O31" s="28"/>
      <c r="P31" s="26">
        <f>SUM(Table134725[[#This Row],[Valor de la Factura del Cliente]:[Avance]])+P30</f>
        <v>-3294.4049999999988</v>
      </c>
    </row>
    <row r="32" spans="2:16" s="12" customFormat="1" ht="16.5" customHeight="1" x14ac:dyDescent="0.25">
      <c r="B32" s="47">
        <v>45267</v>
      </c>
      <c r="C32" s="27"/>
      <c r="D32" s="27"/>
      <c r="E32" s="27"/>
      <c r="F32" s="27"/>
      <c r="G32" s="65" t="s">
        <v>767</v>
      </c>
      <c r="H32" s="28"/>
      <c r="I32" s="28"/>
      <c r="J32" s="28"/>
      <c r="K32" s="28"/>
      <c r="L32" s="28"/>
      <c r="M32" s="28"/>
      <c r="N32" s="28">
        <v>-3053.34</v>
      </c>
      <c r="O32" s="28"/>
      <c r="P32" s="26">
        <f>SUM(Table134725[[#This Row],[Valor de la Factura del Cliente]:[Avance]])+P31</f>
        <v>-6347.744999999999</v>
      </c>
    </row>
    <row r="33" spans="2:16" s="12" customFormat="1" ht="16.5" customHeight="1" x14ac:dyDescent="0.25">
      <c r="B33" s="47">
        <v>45299</v>
      </c>
      <c r="C33" s="27"/>
      <c r="D33" s="27"/>
      <c r="E33" s="27"/>
      <c r="F33" s="27" t="s">
        <v>380</v>
      </c>
      <c r="G33" s="65" t="s">
        <v>761</v>
      </c>
      <c r="H33" s="28"/>
      <c r="I33" s="28"/>
      <c r="J33" s="28"/>
      <c r="K33" s="28"/>
      <c r="L33" s="28"/>
      <c r="M33" s="28"/>
      <c r="N33" s="28">
        <v>-3000</v>
      </c>
      <c r="O33" s="28"/>
      <c r="P33" s="26">
        <f>SUM(Table134725[[#This Row],[Valor de la Factura del Cliente]:[Avance]])+P32</f>
        <v>-9347.744999999999</v>
      </c>
    </row>
    <row r="34" spans="2:16" s="12" customFormat="1" ht="16.5" customHeight="1" x14ac:dyDescent="0.25">
      <c r="B34" s="47">
        <v>45329</v>
      </c>
      <c r="C34" s="27"/>
      <c r="D34" s="27"/>
      <c r="E34" s="27"/>
      <c r="F34" s="27" t="s">
        <v>380</v>
      </c>
      <c r="G34" s="65" t="s">
        <v>767</v>
      </c>
      <c r="H34" s="28"/>
      <c r="I34" s="28"/>
      <c r="J34" s="28"/>
      <c r="K34" s="28"/>
      <c r="L34" s="28"/>
      <c r="M34" s="28"/>
      <c r="N34" s="28">
        <v>-1000</v>
      </c>
      <c r="O34" s="28"/>
      <c r="P34" s="26">
        <f>SUM(Table134725[[#This Row],[Valor de la Factura del Cliente]:[Avance]])+P33</f>
        <v>-10347.744999999999</v>
      </c>
    </row>
    <row r="35" spans="2:16" s="12" customFormat="1" ht="16.5" customHeight="1" x14ac:dyDescent="0.25">
      <c r="B35" s="47">
        <v>45344</v>
      </c>
      <c r="C35" s="27"/>
      <c r="D35" s="27"/>
      <c r="E35" s="27"/>
      <c r="F35" s="27" t="s">
        <v>380</v>
      </c>
      <c r="G35" s="65" t="s">
        <v>767</v>
      </c>
      <c r="H35" s="28"/>
      <c r="I35" s="28"/>
      <c r="J35" s="28"/>
      <c r="K35" s="28"/>
      <c r="L35" s="28"/>
      <c r="M35" s="28"/>
      <c r="N35" s="28">
        <v>-1000</v>
      </c>
      <c r="O35" s="28"/>
      <c r="P35" s="26">
        <f>SUM(Table134725[[#This Row],[Valor de la Factura del Cliente]:[Avance]])+P34</f>
        <v>-11347.744999999999</v>
      </c>
    </row>
    <row r="36" spans="2:16" s="12" customFormat="1" ht="16.5" customHeight="1" x14ac:dyDescent="0.25">
      <c r="B36" s="47">
        <v>45360</v>
      </c>
      <c r="C36" s="27"/>
      <c r="D36" s="27"/>
      <c r="E36" s="27"/>
      <c r="F36" s="27" t="s">
        <v>380</v>
      </c>
      <c r="G36" s="65" t="s">
        <v>768</v>
      </c>
      <c r="H36" s="28"/>
      <c r="I36" s="28"/>
      <c r="J36" s="28"/>
      <c r="K36" s="28"/>
      <c r="L36" s="28"/>
      <c r="M36" s="28"/>
      <c r="N36" s="28">
        <v>-238.75</v>
      </c>
      <c r="O36" s="28"/>
      <c r="P36" s="26">
        <f>SUM(Table134725[[#This Row],[Valor de la Factura del Cliente]:[Avance]])+P35</f>
        <v>-11586.494999999999</v>
      </c>
    </row>
    <row r="37" spans="2:16" s="12" customFormat="1" ht="16.5" customHeight="1" x14ac:dyDescent="0.25">
      <c r="B37" s="47">
        <v>45369</v>
      </c>
      <c r="C37" s="27"/>
      <c r="D37" s="27"/>
      <c r="E37" s="27"/>
      <c r="F37" s="27" t="s">
        <v>380</v>
      </c>
      <c r="G37" s="65" t="s">
        <v>769</v>
      </c>
      <c r="H37" s="28"/>
      <c r="I37" s="28"/>
      <c r="J37" s="28"/>
      <c r="K37" s="28"/>
      <c r="L37" s="28"/>
      <c r="M37" s="28"/>
      <c r="N37" s="28">
        <v>-750</v>
      </c>
      <c r="O37" s="28"/>
      <c r="P37" s="26">
        <f>SUM(Table134725[[#This Row],[Valor de la Factura del Cliente]:[Avance]])+P36</f>
        <v>-12336.494999999999</v>
      </c>
    </row>
    <row r="38" spans="2:16" s="12" customFormat="1" ht="16.5" customHeight="1" x14ac:dyDescent="0.25">
      <c r="B38" s="47">
        <v>45379</v>
      </c>
      <c r="C38" s="27"/>
      <c r="D38" s="27"/>
      <c r="E38" s="27"/>
      <c r="F38" s="27" t="s">
        <v>380</v>
      </c>
      <c r="G38" s="65" t="s">
        <v>769</v>
      </c>
      <c r="H38" s="28"/>
      <c r="I38" s="28"/>
      <c r="J38" s="28"/>
      <c r="K38" s="28"/>
      <c r="L38" s="28"/>
      <c r="M38" s="28"/>
      <c r="N38" s="28">
        <v>-1500</v>
      </c>
      <c r="O38" s="28"/>
      <c r="P38" s="26">
        <f>SUM(Table134725[[#This Row],[Valor de la Factura del Cliente]:[Avance]])+P37</f>
        <v>-13836.494999999999</v>
      </c>
    </row>
    <row r="39" spans="2:16" s="12" customFormat="1" ht="16.5" customHeight="1" x14ac:dyDescent="0.25">
      <c r="B39" s="47">
        <v>45398</v>
      </c>
      <c r="C39" s="27"/>
      <c r="D39" s="27"/>
      <c r="E39" s="27"/>
      <c r="F39" s="27" t="s">
        <v>380</v>
      </c>
      <c r="G39" s="65" t="s">
        <v>761</v>
      </c>
      <c r="H39" s="28"/>
      <c r="I39" s="28"/>
      <c r="J39" s="28"/>
      <c r="K39" s="28"/>
      <c r="L39" s="28"/>
      <c r="M39" s="28"/>
      <c r="N39" s="28">
        <v>-1000</v>
      </c>
      <c r="O39" s="28"/>
      <c r="P39" s="26">
        <f>SUM(Table134725[[#This Row],[Valor de la Factura del Cliente]:[Avance]])+P38</f>
        <v>-14836.494999999999</v>
      </c>
    </row>
    <row r="40" spans="2:16" s="12" customFormat="1" ht="16.5" customHeight="1" x14ac:dyDescent="0.25">
      <c r="B40" s="47">
        <v>45414</v>
      </c>
      <c r="C40" s="27"/>
      <c r="D40" s="27"/>
      <c r="E40" s="27"/>
      <c r="F40" s="27" t="s">
        <v>720</v>
      </c>
      <c r="G40" s="65" t="s">
        <v>770</v>
      </c>
      <c r="H40" s="28"/>
      <c r="I40" s="28"/>
      <c r="J40" s="28"/>
      <c r="K40" s="28"/>
      <c r="L40" s="28"/>
      <c r="M40" s="28"/>
      <c r="N40" s="28">
        <v>-42.05</v>
      </c>
      <c r="O40" s="28"/>
      <c r="P40" s="26">
        <f>SUM(Table134725[[#This Row],[Valor de la Factura del Cliente]:[Avance]])+P39</f>
        <v>-14878.544999999998</v>
      </c>
    </row>
    <row r="41" spans="2:16" s="12" customFormat="1" ht="16.5" customHeight="1" x14ac:dyDescent="0.25">
      <c r="B41" s="47">
        <v>45423</v>
      </c>
      <c r="C41" s="27"/>
      <c r="D41" s="27"/>
      <c r="E41" s="27"/>
      <c r="F41" s="27" t="s">
        <v>720</v>
      </c>
      <c r="G41" s="65" t="s">
        <v>771</v>
      </c>
      <c r="H41" s="28"/>
      <c r="I41" s="28"/>
      <c r="J41" s="28"/>
      <c r="K41" s="28"/>
      <c r="L41" s="28"/>
      <c r="M41" s="28"/>
      <c r="N41" s="28">
        <v>-216.565</v>
      </c>
      <c r="O41" s="28"/>
      <c r="P41" s="26">
        <f>SUM(Table134725[[#This Row],[Valor de la Factura del Cliente]:[Avance]])+P40</f>
        <v>-15095.109999999999</v>
      </c>
    </row>
    <row r="42" spans="2:16" s="12" customFormat="1" ht="16.5" customHeight="1" x14ac:dyDescent="0.25">
      <c r="B42" s="47">
        <v>45434</v>
      </c>
      <c r="C42" s="27"/>
      <c r="D42" s="27"/>
      <c r="E42" s="27"/>
      <c r="F42" s="27" t="s">
        <v>720</v>
      </c>
      <c r="G42" s="65" t="s">
        <v>772</v>
      </c>
      <c r="H42" s="28"/>
      <c r="I42" s="28"/>
      <c r="J42" s="28"/>
      <c r="K42" s="28"/>
      <c r="L42" s="28"/>
      <c r="M42" s="28"/>
      <c r="N42" s="28">
        <v>-287.11</v>
      </c>
      <c r="O42" s="28"/>
      <c r="P42" s="26">
        <f>SUM(Table134725[[#This Row],[Valor de la Factura del Cliente]:[Avance]])+P41</f>
        <v>-15382.22</v>
      </c>
    </row>
    <row r="43" spans="2:16" s="12" customFormat="1" ht="16.5" customHeight="1" x14ac:dyDescent="0.25">
      <c r="B43" s="47">
        <v>45440</v>
      </c>
      <c r="C43" s="27"/>
      <c r="D43" s="27"/>
      <c r="E43" s="27"/>
      <c r="F43" s="27" t="s">
        <v>380</v>
      </c>
      <c r="G43" s="65" t="s">
        <v>295</v>
      </c>
      <c r="H43" s="28"/>
      <c r="I43" s="28"/>
      <c r="J43" s="28"/>
      <c r="K43" s="28"/>
      <c r="L43" s="28"/>
      <c r="M43" s="28"/>
      <c r="N43" s="28">
        <v>-1000</v>
      </c>
      <c r="O43" s="28"/>
      <c r="P43" s="26">
        <f>SUM(Table134725[[#This Row],[Valor de la Factura del Cliente]:[Avance]])+P42</f>
        <v>-16382.22</v>
      </c>
    </row>
    <row r="44" spans="2:16" s="12" customFormat="1" ht="16.5" customHeight="1" x14ac:dyDescent="0.25">
      <c r="B44" s="47">
        <v>45445</v>
      </c>
      <c r="C44" s="27"/>
      <c r="D44" s="27"/>
      <c r="E44" s="27"/>
      <c r="F44" s="27" t="s">
        <v>380</v>
      </c>
      <c r="G44" s="65" t="s">
        <v>773</v>
      </c>
      <c r="H44" s="28"/>
      <c r="I44" s="28"/>
      <c r="J44" s="28"/>
      <c r="K44" s="28"/>
      <c r="L44" s="28"/>
      <c r="M44" s="28"/>
      <c r="N44" s="28">
        <v>-5685</v>
      </c>
      <c r="O44" s="28"/>
      <c r="P44" s="26">
        <f>SUM(Table134725[[#This Row],[Valor de la Factura del Cliente]:[Avance]])+P43</f>
        <v>-22067.22</v>
      </c>
    </row>
    <row r="45" spans="2:16" s="12" customFormat="1" ht="16.5" customHeight="1" x14ac:dyDescent="0.25">
      <c r="B45" s="47">
        <v>45461</v>
      </c>
      <c r="C45" s="27"/>
      <c r="D45" s="27"/>
      <c r="E45" s="27"/>
      <c r="F45" s="27" t="s">
        <v>721</v>
      </c>
      <c r="G45" s="65" t="s">
        <v>721</v>
      </c>
      <c r="H45" s="28">
        <v>235000</v>
      </c>
      <c r="I45" s="28"/>
      <c r="J45" s="28"/>
      <c r="K45" s="28"/>
      <c r="L45" s="28"/>
      <c r="M45" s="28"/>
      <c r="N45" s="28">
        <v>0</v>
      </c>
      <c r="O45" s="28"/>
      <c r="P45" s="26">
        <f>SUM(Table134725[[#This Row],[Valor de la Factura del Cliente]:[Avance]])+P44</f>
        <v>212932.78</v>
      </c>
    </row>
    <row r="46" spans="2:16" s="12" customFormat="1" ht="16.5" customHeight="1" x14ac:dyDescent="0.25">
      <c r="B46" s="47">
        <v>45463</v>
      </c>
      <c r="C46" s="27"/>
      <c r="D46" s="27"/>
      <c r="E46" s="27"/>
      <c r="F46" s="27" t="s">
        <v>722</v>
      </c>
      <c r="G46" s="65" t="s">
        <v>295</v>
      </c>
      <c r="H46" s="28"/>
      <c r="I46" s="28"/>
      <c r="J46" s="28"/>
      <c r="K46" s="28"/>
      <c r="L46" s="28"/>
      <c r="M46" s="28"/>
      <c r="N46" s="28">
        <v>-1300</v>
      </c>
      <c r="O46" s="28"/>
      <c r="P46" s="26">
        <f>SUM(Table134725[[#This Row],[Valor de la Factura del Cliente]:[Avance]])+P45</f>
        <v>211632.78</v>
      </c>
    </row>
    <row r="47" spans="2:16" s="12" customFormat="1" ht="16.5" customHeight="1" x14ac:dyDescent="0.25">
      <c r="B47" s="47">
        <v>45463</v>
      </c>
      <c r="C47" s="27"/>
      <c r="D47" s="27"/>
      <c r="E47" s="27"/>
      <c r="F47" s="27" t="s">
        <v>723</v>
      </c>
      <c r="G47" s="65" t="s">
        <v>774</v>
      </c>
      <c r="H47" s="28"/>
      <c r="I47" s="28"/>
      <c r="J47" s="28"/>
      <c r="K47" s="28"/>
      <c r="L47" s="28"/>
      <c r="M47" s="28"/>
      <c r="N47" s="28">
        <v>-685</v>
      </c>
      <c r="O47" s="28"/>
      <c r="P47" s="26">
        <f>SUM(Table134725[[#This Row],[Valor de la Factura del Cliente]:[Avance]])+P46</f>
        <v>210947.78</v>
      </c>
    </row>
    <row r="48" spans="2:16" s="12" customFormat="1" ht="16.5" customHeight="1" x14ac:dyDescent="0.25">
      <c r="B48" s="47">
        <v>45467</v>
      </c>
      <c r="C48" s="27"/>
      <c r="D48" s="27"/>
      <c r="E48" s="27"/>
      <c r="F48" s="27" t="s">
        <v>722</v>
      </c>
      <c r="G48" s="65" t="s">
        <v>295</v>
      </c>
      <c r="H48" s="28"/>
      <c r="I48" s="28"/>
      <c r="J48" s="28"/>
      <c r="K48" s="28"/>
      <c r="L48" s="28"/>
      <c r="M48" s="28"/>
      <c r="N48" s="28">
        <v>-2000</v>
      </c>
      <c r="O48" s="28"/>
      <c r="P48" s="26">
        <f>SUM(Table134725[[#This Row],[Valor de la Factura del Cliente]:[Avance]])+P47</f>
        <v>208947.78</v>
      </c>
    </row>
    <row r="49" spans="2:16" s="12" customFormat="1" ht="16.5" customHeight="1" x14ac:dyDescent="0.25">
      <c r="B49" s="47">
        <v>45467</v>
      </c>
      <c r="C49" s="27"/>
      <c r="D49" s="27"/>
      <c r="E49" s="27"/>
      <c r="F49" s="27" t="s">
        <v>722</v>
      </c>
      <c r="G49" s="65" t="s">
        <v>295</v>
      </c>
      <c r="H49" s="28"/>
      <c r="I49" s="28"/>
      <c r="J49" s="28"/>
      <c r="K49" s="28"/>
      <c r="L49" s="28"/>
      <c r="M49" s="28"/>
      <c r="N49" s="28">
        <v>-700</v>
      </c>
      <c r="O49" s="28"/>
      <c r="P49" s="26">
        <f>SUM(Table134725[[#This Row],[Valor de la Factura del Cliente]:[Avance]])+P48</f>
        <v>208247.78</v>
      </c>
    </row>
    <row r="50" spans="2:16" s="12" customFormat="1" ht="16.5" customHeight="1" x14ac:dyDescent="0.25">
      <c r="B50" s="47">
        <v>45478</v>
      </c>
      <c r="C50" s="27"/>
      <c r="D50" s="27"/>
      <c r="E50" s="27"/>
      <c r="F50" s="27" t="s">
        <v>722</v>
      </c>
      <c r="G50" s="65" t="s">
        <v>295</v>
      </c>
      <c r="H50" s="28"/>
      <c r="I50" s="28"/>
      <c r="J50" s="28"/>
      <c r="K50" s="28"/>
      <c r="L50" s="28"/>
      <c r="M50" s="28"/>
      <c r="N50" s="28">
        <v>-1200</v>
      </c>
      <c r="O50" s="28"/>
      <c r="P50" s="26">
        <f>SUM(Table134725[[#This Row],[Valor de la Factura del Cliente]:[Avance]])+P49</f>
        <v>207047.78</v>
      </c>
    </row>
    <row r="51" spans="2:16" s="12" customFormat="1" ht="16.5" customHeight="1" x14ac:dyDescent="0.25">
      <c r="B51" s="47">
        <v>45481</v>
      </c>
      <c r="C51" s="27"/>
      <c r="D51" s="27"/>
      <c r="E51" s="27"/>
      <c r="F51" s="27" t="s">
        <v>724</v>
      </c>
      <c r="G51" s="65" t="s">
        <v>775</v>
      </c>
      <c r="H51" s="28"/>
      <c r="I51" s="28"/>
      <c r="J51" s="28"/>
      <c r="K51" s="28"/>
      <c r="L51" s="28"/>
      <c r="M51" s="28"/>
      <c r="N51" s="28">
        <v>-224.1</v>
      </c>
      <c r="O51" s="28"/>
      <c r="P51" s="26">
        <f>SUM(Table134725[[#This Row],[Valor de la Factura del Cliente]:[Avance]])+P50</f>
        <v>206823.67999999999</v>
      </c>
    </row>
    <row r="52" spans="2:16" s="12" customFormat="1" ht="16.5" customHeight="1" x14ac:dyDescent="0.25">
      <c r="B52" s="47">
        <v>45481</v>
      </c>
      <c r="C52" s="27"/>
      <c r="D52" s="27"/>
      <c r="E52" s="27"/>
      <c r="F52" s="27" t="s">
        <v>722</v>
      </c>
      <c r="G52" s="65" t="s">
        <v>295</v>
      </c>
      <c r="H52" s="28"/>
      <c r="I52" s="28"/>
      <c r="J52" s="28"/>
      <c r="K52" s="28"/>
      <c r="L52" s="28"/>
      <c r="M52" s="28"/>
      <c r="N52" s="28">
        <v>-1300</v>
      </c>
      <c r="O52" s="28"/>
      <c r="P52" s="26">
        <f>SUM(Table134725[[#This Row],[Valor de la Factura del Cliente]:[Avance]])+P51</f>
        <v>205523.68</v>
      </c>
    </row>
    <row r="53" spans="2:16" s="12" customFormat="1" ht="16.5" customHeight="1" x14ac:dyDescent="0.25">
      <c r="B53" s="47">
        <v>45484</v>
      </c>
      <c r="C53" s="27"/>
      <c r="D53" s="27"/>
      <c r="E53" s="27"/>
      <c r="F53" s="27" t="s">
        <v>722</v>
      </c>
      <c r="G53" s="65"/>
      <c r="H53" s="28"/>
      <c r="I53" s="28"/>
      <c r="J53" s="28"/>
      <c r="K53" s="28"/>
      <c r="L53" s="28"/>
      <c r="M53" s="28"/>
      <c r="N53" s="28">
        <v>-2000</v>
      </c>
      <c r="O53" s="28"/>
      <c r="P53" s="26">
        <f>SUM(Table134725[[#This Row],[Valor de la Factura del Cliente]:[Avance]])+P52</f>
        <v>203523.68</v>
      </c>
    </row>
    <row r="54" spans="2:16" s="12" customFormat="1" ht="16.5" customHeight="1" x14ac:dyDescent="0.25">
      <c r="B54" s="47">
        <v>45488</v>
      </c>
      <c r="C54" s="27"/>
      <c r="D54" s="27"/>
      <c r="E54" s="27"/>
      <c r="F54" s="27" t="s">
        <v>725</v>
      </c>
      <c r="G54" s="65" t="s">
        <v>776</v>
      </c>
      <c r="H54" s="28"/>
      <c r="I54" s="28"/>
      <c r="J54" s="28"/>
      <c r="K54" s="28"/>
      <c r="L54" s="28"/>
      <c r="M54" s="28"/>
      <c r="N54" s="28">
        <v>-1391.96</v>
      </c>
      <c r="O54" s="28"/>
      <c r="P54" s="26">
        <f>SUM(Table134725[[#This Row],[Valor de la Factura del Cliente]:[Avance]])+P53</f>
        <v>202131.72</v>
      </c>
    </row>
    <row r="55" spans="2:16" s="12" customFormat="1" ht="16.5" customHeight="1" x14ac:dyDescent="0.25">
      <c r="B55" s="47">
        <v>45494</v>
      </c>
      <c r="C55" s="27"/>
      <c r="D55" s="27"/>
      <c r="E55" s="27"/>
      <c r="F55" s="27" t="s">
        <v>726</v>
      </c>
      <c r="G55" s="65" t="s">
        <v>777</v>
      </c>
      <c r="H55" s="28"/>
      <c r="I55" s="28"/>
      <c r="J55" s="28"/>
      <c r="K55" s="28"/>
      <c r="L55" s="28"/>
      <c r="M55" s="28"/>
      <c r="N55" s="28">
        <v>-52.045999999999999</v>
      </c>
      <c r="O55" s="28"/>
      <c r="P55" s="26">
        <f>SUM(Table134725[[#This Row],[Valor de la Factura del Cliente]:[Avance]])+P54</f>
        <v>202079.674</v>
      </c>
    </row>
    <row r="56" spans="2:16" s="12" customFormat="1" ht="16.5" customHeight="1" x14ac:dyDescent="0.25">
      <c r="B56" s="47">
        <v>45494</v>
      </c>
      <c r="C56" s="27"/>
      <c r="D56" s="27"/>
      <c r="E56" s="27"/>
      <c r="F56" s="27" t="s">
        <v>727</v>
      </c>
      <c r="G56" s="65" t="s">
        <v>778</v>
      </c>
      <c r="H56" s="28"/>
      <c r="I56" s="28"/>
      <c r="J56" s="28"/>
      <c r="K56" s="28"/>
      <c r="L56" s="28"/>
      <c r="M56" s="28"/>
      <c r="N56" s="28">
        <v>-171.72</v>
      </c>
      <c r="O56" s="28"/>
      <c r="P56" s="26">
        <f>SUM(Table134725[[#This Row],[Valor de la Factura del Cliente]:[Avance]])+P55</f>
        <v>201907.954</v>
      </c>
    </row>
    <row r="57" spans="2:16" s="12" customFormat="1" ht="16.5" customHeight="1" x14ac:dyDescent="0.25">
      <c r="B57" s="47">
        <v>45494</v>
      </c>
      <c r="C57" s="27"/>
      <c r="D57" s="27"/>
      <c r="E57" s="27"/>
      <c r="F57" s="27" t="s">
        <v>684</v>
      </c>
      <c r="G57" s="65" t="s">
        <v>700</v>
      </c>
      <c r="H57" s="28"/>
      <c r="I57" s="28"/>
      <c r="J57" s="28"/>
      <c r="K57" s="28"/>
      <c r="L57" s="28"/>
      <c r="M57" s="28"/>
      <c r="N57" s="28">
        <v>-52.055999999999997</v>
      </c>
      <c r="O57" s="28"/>
      <c r="P57" s="26">
        <f>SUM(Table134725[[#This Row],[Valor de la Factura del Cliente]:[Avance]])+P56</f>
        <v>201855.89799999999</v>
      </c>
    </row>
    <row r="58" spans="2:16" s="12" customFormat="1" ht="16.5" customHeight="1" x14ac:dyDescent="0.25">
      <c r="B58" s="47">
        <v>45502</v>
      </c>
      <c r="C58" s="27"/>
      <c r="D58" s="27"/>
      <c r="E58" s="27"/>
      <c r="F58" s="27" t="s">
        <v>728</v>
      </c>
      <c r="G58" s="65" t="s">
        <v>779</v>
      </c>
      <c r="H58" s="28"/>
      <c r="I58" s="28"/>
      <c r="J58" s="28"/>
      <c r="K58" s="28"/>
      <c r="L58" s="28"/>
      <c r="M58" s="28"/>
      <c r="N58" s="28">
        <v>-75.11</v>
      </c>
      <c r="O58" s="28"/>
      <c r="P58" s="26">
        <f>SUM(Table134725[[#This Row],[Valor de la Factura del Cliente]:[Avance]])+P57</f>
        <v>201780.788</v>
      </c>
    </row>
    <row r="59" spans="2:16" ht="16.5" customHeight="1" x14ac:dyDescent="0.45">
      <c r="B59" s="72">
        <v>45502</v>
      </c>
      <c r="C59" s="73"/>
      <c r="D59" s="73"/>
      <c r="E59" s="73"/>
      <c r="F59" s="73" t="s">
        <v>729</v>
      </c>
      <c r="G59" s="73" t="s">
        <v>780</v>
      </c>
      <c r="H59" s="74"/>
      <c r="I59" s="74"/>
      <c r="J59" s="74"/>
      <c r="K59" s="74"/>
      <c r="L59" s="74"/>
      <c r="M59" s="74"/>
      <c r="N59" s="74">
        <v>-14.206666666666665</v>
      </c>
      <c r="O59" s="74"/>
      <c r="P59" s="26">
        <f>SUM(Table134725[[#This Row],[Valor de la Factura del Cliente]:[Avance]])+P58</f>
        <v>201766.58133333334</v>
      </c>
    </row>
    <row r="60" spans="2:16" ht="16.5" customHeight="1" x14ac:dyDescent="0.45">
      <c r="B60" s="72">
        <v>45502</v>
      </c>
      <c r="C60" s="73"/>
      <c r="D60" s="73"/>
      <c r="E60" s="73"/>
      <c r="F60" s="73" t="s">
        <v>685</v>
      </c>
      <c r="G60" s="73" t="s">
        <v>781</v>
      </c>
      <c r="H60" s="74"/>
      <c r="I60" s="74"/>
      <c r="J60" s="74"/>
      <c r="K60" s="74"/>
      <c r="L60" s="74"/>
      <c r="M60" s="74"/>
      <c r="N60" s="74">
        <v>-61.672499999999999</v>
      </c>
      <c r="O60" s="74"/>
      <c r="P60" s="26">
        <f>SUM(Table134725[[#This Row],[Valor de la Factura del Cliente]:[Avance]])+P59</f>
        <v>201704.90883333335</v>
      </c>
    </row>
    <row r="61" spans="2:16" ht="16.5" customHeight="1" x14ac:dyDescent="0.45">
      <c r="B61" s="72">
        <v>45506</v>
      </c>
      <c r="C61" s="73"/>
      <c r="D61" s="73"/>
      <c r="E61" s="73"/>
      <c r="F61" s="73" t="s">
        <v>730</v>
      </c>
      <c r="G61" s="73" t="s">
        <v>781</v>
      </c>
      <c r="H61" s="74"/>
      <c r="I61" s="74"/>
      <c r="J61" s="74"/>
      <c r="K61" s="74"/>
      <c r="L61" s="74"/>
      <c r="M61" s="74"/>
      <c r="N61" s="74">
        <v>-65.512500000000003</v>
      </c>
      <c r="O61" s="74"/>
      <c r="P61" s="26">
        <f>SUM(Table134725[[#This Row],[Valor de la Factura del Cliente]:[Avance]])+P60</f>
        <v>201639.39633333334</v>
      </c>
    </row>
    <row r="62" spans="2:16" ht="16.5" customHeight="1" x14ac:dyDescent="0.45">
      <c r="B62" s="72">
        <v>45507</v>
      </c>
      <c r="C62" s="73"/>
      <c r="D62" s="73"/>
      <c r="E62" s="73"/>
      <c r="F62" s="73" t="s">
        <v>731</v>
      </c>
      <c r="G62" s="73" t="s">
        <v>782</v>
      </c>
      <c r="H62" s="74"/>
      <c r="I62" s="74"/>
      <c r="J62" s="74"/>
      <c r="K62" s="74"/>
      <c r="L62" s="74"/>
      <c r="M62" s="74"/>
      <c r="N62" s="74">
        <v>-17.46</v>
      </c>
      <c r="O62" s="74"/>
      <c r="P62" s="26">
        <f>SUM(Table134725[[#This Row],[Valor de la Factura del Cliente]:[Avance]])+P61</f>
        <v>201621.93633333335</v>
      </c>
    </row>
    <row r="63" spans="2:16" ht="16.5" customHeight="1" x14ac:dyDescent="0.45">
      <c r="B63" s="72">
        <v>45509</v>
      </c>
      <c r="C63" s="73"/>
      <c r="D63" s="73"/>
      <c r="E63" s="73"/>
      <c r="F63" s="73" t="s">
        <v>687</v>
      </c>
      <c r="G63" s="73" t="s">
        <v>702</v>
      </c>
      <c r="H63" s="74"/>
      <c r="I63" s="74"/>
      <c r="J63" s="74"/>
      <c r="K63" s="74"/>
      <c r="L63" s="74"/>
      <c r="M63" s="74"/>
      <c r="N63" s="74">
        <v>-836.8</v>
      </c>
      <c r="O63" s="74"/>
      <c r="P63" s="26">
        <f>SUM(Table134725[[#This Row],[Valor de la Factura del Cliente]:[Avance]])+P62</f>
        <v>200785.13633333336</v>
      </c>
    </row>
    <row r="64" spans="2:16" ht="16.5" customHeight="1" x14ac:dyDescent="0.45">
      <c r="B64" s="72">
        <v>45515</v>
      </c>
      <c r="C64" s="73"/>
      <c r="D64" s="73"/>
      <c r="E64" s="73"/>
      <c r="F64" s="73" t="s">
        <v>732</v>
      </c>
      <c r="G64" s="73" t="s">
        <v>783</v>
      </c>
      <c r="H64" s="74"/>
      <c r="I64" s="74"/>
      <c r="J64" s="74"/>
      <c r="K64" s="74"/>
      <c r="L64" s="74"/>
      <c r="M64" s="74"/>
      <c r="N64" s="74">
        <v>-3000</v>
      </c>
      <c r="O64" s="74"/>
      <c r="P64" s="26">
        <f>SUM(Table134725[[#This Row],[Valor de la Factura del Cliente]:[Avance]])+P63</f>
        <v>197785.13633333336</v>
      </c>
    </row>
    <row r="65" spans="2:16" ht="16.5" customHeight="1" x14ac:dyDescent="0.45">
      <c r="B65" s="72">
        <v>45515</v>
      </c>
      <c r="C65" s="73"/>
      <c r="D65" s="73"/>
      <c r="E65" s="73"/>
      <c r="F65" s="73" t="s">
        <v>687</v>
      </c>
      <c r="G65" s="73" t="s">
        <v>784</v>
      </c>
      <c r="H65" s="74"/>
      <c r="I65" s="74"/>
      <c r="J65" s="74"/>
      <c r="K65" s="74"/>
      <c r="L65" s="74"/>
      <c r="M65" s="74"/>
      <c r="N65" s="74">
        <v>-218.64</v>
      </c>
      <c r="O65" s="74"/>
      <c r="P65" s="26">
        <f>SUM(Table134725[[#This Row],[Valor de la Factura del Cliente]:[Avance]])+P64</f>
        <v>197566.49633333334</v>
      </c>
    </row>
    <row r="66" spans="2:16" ht="16.5" customHeight="1" x14ac:dyDescent="0.45">
      <c r="B66" s="72">
        <v>45523</v>
      </c>
      <c r="C66" s="73"/>
      <c r="D66" s="73"/>
      <c r="E66" s="73"/>
      <c r="F66" s="73" t="s">
        <v>733</v>
      </c>
      <c r="G66" s="73" t="s">
        <v>785</v>
      </c>
      <c r="H66" s="74"/>
      <c r="I66" s="74"/>
      <c r="J66" s="74"/>
      <c r="K66" s="74"/>
      <c r="L66" s="74"/>
      <c r="M66" s="74"/>
      <c r="N66" s="74">
        <v>-10000</v>
      </c>
      <c r="O66" s="74"/>
      <c r="P66" s="26">
        <f>SUM(Table134725[[#This Row],[Valor de la Factura del Cliente]:[Avance]])+P65</f>
        <v>187566.49633333334</v>
      </c>
    </row>
    <row r="67" spans="2:16" ht="16.5" customHeight="1" x14ac:dyDescent="0.45">
      <c r="B67" s="72">
        <v>45524</v>
      </c>
      <c r="C67" s="73"/>
      <c r="D67" s="73"/>
      <c r="E67" s="73"/>
      <c r="F67" s="73" t="s">
        <v>734</v>
      </c>
      <c r="G67" s="73" t="s">
        <v>786</v>
      </c>
      <c r="H67" s="74"/>
      <c r="I67" s="74"/>
      <c r="J67" s="74"/>
      <c r="K67" s="74"/>
      <c r="L67" s="74"/>
      <c r="M67" s="74"/>
      <c r="N67" s="74">
        <v>-195.6</v>
      </c>
      <c r="O67" s="74"/>
      <c r="P67" s="26">
        <f>SUM(Table134725[[#This Row],[Valor de la Factura del Cliente]:[Avance]])+P66</f>
        <v>187370.89633333334</v>
      </c>
    </row>
    <row r="68" spans="2:16" ht="16.5" customHeight="1" x14ac:dyDescent="0.45">
      <c r="B68" s="72">
        <v>45524</v>
      </c>
      <c r="C68" s="73"/>
      <c r="D68" s="73"/>
      <c r="E68" s="73"/>
      <c r="F68" s="73" t="s">
        <v>734</v>
      </c>
      <c r="G68" s="73" t="s">
        <v>787</v>
      </c>
      <c r="H68" s="74"/>
      <c r="I68" s="74"/>
      <c r="J68" s="74"/>
      <c r="K68" s="74"/>
      <c r="L68" s="74"/>
      <c r="M68" s="74"/>
      <c r="N68" s="74">
        <v>-397.45</v>
      </c>
      <c r="O68" s="74"/>
      <c r="P68" s="26">
        <f>SUM(Table134725[[#This Row],[Valor de la Factura del Cliente]:[Avance]])+P67</f>
        <v>186973.44633333333</v>
      </c>
    </row>
    <row r="69" spans="2:16" ht="16.5" customHeight="1" x14ac:dyDescent="0.45">
      <c r="B69" s="72">
        <v>45525</v>
      </c>
      <c r="C69" s="73"/>
      <c r="D69" s="73"/>
      <c r="E69" s="73"/>
      <c r="F69" s="73" t="s">
        <v>735</v>
      </c>
      <c r="G69" s="73" t="s">
        <v>788</v>
      </c>
      <c r="H69" s="74"/>
      <c r="I69" s="74"/>
      <c r="J69" s="74"/>
      <c r="K69" s="74"/>
      <c r="L69" s="74"/>
      <c r="M69" s="74"/>
      <c r="N69" s="74">
        <v>-35</v>
      </c>
      <c r="O69" s="74"/>
      <c r="P69" s="26">
        <f>SUM(Table134725[[#This Row],[Valor de la Factura del Cliente]:[Avance]])+P68</f>
        <v>186938.44633333333</v>
      </c>
    </row>
    <row r="70" spans="2:16" ht="16.5" customHeight="1" x14ac:dyDescent="0.45">
      <c r="B70" s="72">
        <v>45525</v>
      </c>
      <c r="C70" s="73"/>
      <c r="D70" s="73"/>
      <c r="E70" s="73"/>
      <c r="F70" s="73" t="s">
        <v>735</v>
      </c>
      <c r="G70" s="73" t="s">
        <v>788</v>
      </c>
      <c r="H70" s="74"/>
      <c r="I70" s="74"/>
      <c r="J70" s="74"/>
      <c r="K70" s="74"/>
      <c r="L70" s="74"/>
      <c r="M70" s="74"/>
      <c r="N70" s="74">
        <v>-49</v>
      </c>
      <c r="O70" s="74"/>
      <c r="P70" s="26">
        <f>SUM(Table134725[[#This Row],[Valor de la Factura del Cliente]:[Avance]])+P69</f>
        <v>186889.44633333333</v>
      </c>
    </row>
    <row r="71" spans="2:16" ht="16.5" customHeight="1" x14ac:dyDescent="0.45">
      <c r="B71" s="72">
        <v>45562</v>
      </c>
      <c r="C71" s="73"/>
      <c r="D71" s="73"/>
      <c r="E71" s="73"/>
      <c r="F71" s="73" t="s">
        <v>380</v>
      </c>
      <c r="G71" s="73" t="s">
        <v>295</v>
      </c>
      <c r="H71" s="74"/>
      <c r="I71" s="74"/>
      <c r="J71" s="74"/>
      <c r="K71" s="74"/>
      <c r="L71" s="74"/>
      <c r="M71" s="74"/>
      <c r="N71" s="74">
        <v>-2000</v>
      </c>
      <c r="O71" s="74"/>
      <c r="P71" s="26">
        <f>SUM(Table134725[[#This Row],[Valor de la Factura del Cliente]:[Avance]])+P70</f>
        <v>184889.44633333333</v>
      </c>
    </row>
    <row r="72" spans="2:16" ht="16.5" customHeight="1" x14ac:dyDescent="0.45">
      <c r="B72" s="72">
        <v>45586</v>
      </c>
      <c r="C72" s="73"/>
      <c r="D72" s="73"/>
      <c r="E72" s="73"/>
      <c r="F72" s="73" t="s">
        <v>732</v>
      </c>
      <c r="G72" s="73" t="s">
        <v>783</v>
      </c>
      <c r="H72" s="74"/>
      <c r="I72" s="74"/>
      <c r="J72" s="74"/>
      <c r="K72" s="74"/>
      <c r="L72" s="74"/>
      <c r="M72" s="74"/>
      <c r="N72" s="74">
        <v>-1200</v>
      </c>
      <c r="O72" s="74"/>
      <c r="P72" s="26">
        <f>SUM(Table134725[[#This Row],[Valor de la Factura del Cliente]:[Avance]])+P71</f>
        <v>183689.44633333333</v>
      </c>
    </row>
    <row r="73" spans="2:16" ht="16.5" customHeight="1" x14ac:dyDescent="0.45">
      <c r="B73" s="72">
        <v>45587</v>
      </c>
      <c r="C73" s="73"/>
      <c r="D73" s="73"/>
      <c r="E73" s="73"/>
      <c r="F73" s="73" t="s">
        <v>732</v>
      </c>
      <c r="G73" s="73" t="s">
        <v>783</v>
      </c>
      <c r="H73" s="74"/>
      <c r="I73" s="74"/>
      <c r="J73" s="74"/>
      <c r="K73" s="74"/>
      <c r="L73" s="74"/>
      <c r="M73" s="74"/>
      <c r="N73" s="74">
        <v>-800</v>
      </c>
      <c r="O73" s="74"/>
      <c r="P73" s="26">
        <f>SUM(Table134725[[#This Row],[Valor de la Factura del Cliente]:[Avance]])+P72</f>
        <v>182889.44633333333</v>
      </c>
    </row>
    <row r="74" spans="2:16" ht="16.5" customHeight="1" x14ac:dyDescent="0.45">
      <c r="B74" s="72">
        <v>45618</v>
      </c>
      <c r="C74" s="73"/>
      <c r="D74" s="73"/>
      <c r="E74" s="73"/>
      <c r="F74" s="73" t="s">
        <v>380</v>
      </c>
      <c r="G74" s="73" t="s">
        <v>789</v>
      </c>
      <c r="H74" s="74"/>
      <c r="I74" s="74"/>
      <c r="J74" s="74"/>
      <c r="K74" s="74"/>
      <c r="L74" s="74"/>
      <c r="M74" s="74"/>
      <c r="N74" s="74">
        <v>-300</v>
      </c>
      <c r="O74" s="74"/>
      <c r="P74" s="26">
        <f>SUM(Table134725[[#This Row],[Valor de la Factura del Cliente]:[Avance]])+P73</f>
        <v>182589.44633333333</v>
      </c>
    </row>
    <row r="75" spans="2:16" ht="16.5" customHeight="1" x14ac:dyDescent="0.45">
      <c r="B75" s="72">
        <v>45618</v>
      </c>
      <c r="C75" s="73"/>
      <c r="D75" s="73"/>
      <c r="E75" s="73"/>
      <c r="F75" s="73" t="s">
        <v>736</v>
      </c>
      <c r="G75" s="73" t="s">
        <v>790</v>
      </c>
      <c r="H75" s="74"/>
      <c r="I75" s="74"/>
      <c r="J75" s="74"/>
      <c r="K75" s="74"/>
      <c r="L75" s="74"/>
      <c r="M75" s="74"/>
      <c r="N75" s="74">
        <v>-200</v>
      </c>
      <c r="O75" s="74"/>
      <c r="P75" s="26">
        <f>SUM(Table134725[[#This Row],[Valor de la Factura del Cliente]:[Avance]])+P74</f>
        <v>182389.44633333333</v>
      </c>
    </row>
    <row r="76" spans="2:16" ht="16.5" customHeight="1" x14ac:dyDescent="0.45">
      <c r="B76" s="72">
        <v>45628</v>
      </c>
      <c r="C76" s="73"/>
      <c r="D76" s="73"/>
      <c r="E76" s="73"/>
      <c r="F76" s="73" t="s">
        <v>380</v>
      </c>
      <c r="G76" s="73" t="s">
        <v>295</v>
      </c>
      <c r="H76" s="74"/>
      <c r="I76" s="74"/>
      <c r="J76" s="74"/>
      <c r="K76" s="74"/>
      <c r="L76" s="74"/>
      <c r="M76" s="74"/>
      <c r="N76" s="74">
        <v>-2500</v>
      </c>
      <c r="O76" s="74"/>
      <c r="P76" s="26">
        <f>SUM(Table134725[[#This Row],[Valor de la Factura del Cliente]:[Avance]])+P75</f>
        <v>179889.44633333333</v>
      </c>
    </row>
    <row r="77" spans="2:16" ht="16.5" customHeight="1" x14ac:dyDescent="0.45">
      <c r="B77" s="72">
        <v>45631</v>
      </c>
      <c r="C77" s="73"/>
      <c r="D77" s="73"/>
      <c r="E77" s="73"/>
      <c r="F77" s="73" t="s">
        <v>380</v>
      </c>
      <c r="G77" s="73" t="s">
        <v>295</v>
      </c>
      <c r="H77" s="74"/>
      <c r="I77" s="74"/>
      <c r="J77" s="74"/>
      <c r="K77" s="74"/>
      <c r="L77" s="74"/>
      <c r="M77" s="74"/>
      <c r="N77" s="74">
        <v>-2500</v>
      </c>
      <c r="O77" s="74"/>
      <c r="P77" s="26">
        <f>SUM(Table134725[[#This Row],[Valor de la Factura del Cliente]:[Avance]])+P76</f>
        <v>177389.44633333333</v>
      </c>
    </row>
    <row r="78" spans="2:16" ht="16.5" customHeight="1" x14ac:dyDescent="0.45">
      <c r="B78" s="72">
        <v>45637</v>
      </c>
      <c r="C78" s="73"/>
      <c r="D78" s="73"/>
      <c r="E78" s="73"/>
      <c r="F78" s="73" t="s">
        <v>380</v>
      </c>
      <c r="G78" s="73" t="s">
        <v>295</v>
      </c>
      <c r="H78" s="74"/>
      <c r="I78" s="74"/>
      <c r="J78" s="74"/>
      <c r="K78" s="74"/>
      <c r="L78" s="74"/>
      <c r="M78" s="74"/>
      <c r="N78" s="74">
        <v>-2500</v>
      </c>
      <c r="O78" s="74"/>
      <c r="P78" s="26">
        <f>SUM(Table134725[[#This Row],[Valor de la Factura del Cliente]:[Avance]])+P77</f>
        <v>174889.44633333333</v>
      </c>
    </row>
    <row r="79" spans="2:16" ht="16.5" customHeight="1" x14ac:dyDescent="0.45">
      <c r="B79" s="72">
        <v>45646</v>
      </c>
      <c r="C79" s="73"/>
      <c r="D79" s="73"/>
      <c r="E79" s="73"/>
      <c r="F79" s="73" t="s">
        <v>734</v>
      </c>
      <c r="G79" s="73" t="s">
        <v>791</v>
      </c>
      <c r="H79" s="74"/>
      <c r="I79" s="74"/>
      <c r="J79" s="74"/>
      <c r="K79" s="74"/>
      <c r="L79" s="74"/>
      <c r="M79" s="74"/>
      <c r="N79" s="74">
        <v>-274.47000000000003</v>
      </c>
      <c r="O79" s="74"/>
      <c r="P79" s="26">
        <f>SUM(Table134725[[#This Row],[Valor de la Factura del Cliente]:[Avance]])+P78</f>
        <v>174614.97633333332</v>
      </c>
    </row>
    <row r="80" spans="2:16" ht="16.5" customHeight="1" x14ac:dyDescent="0.45">
      <c r="B80" s="72">
        <v>45647</v>
      </c>
      <c r="C80" s="73"/>
      <c r="D80" s="73"/>
      <c r="E80" s="73"/>
      <c r="F80" s="73" t="s">
        <v>380</v>
      </c>
      <c r="G80" s="73" t="s">
        <v>295</v>
      </c>
      <c r="H80" s="74"/>
      <c r="I80" s="74"/>
      <c r="J80" s="74"/>
      <c r="K80" s="74"/>
      <c r="L80" s="74"/>
      <c r="M80" s="74"/>
      <c r="N80" s="74">
        <v>-2000</v>
      </c>
      <c r="O80" s="74"/>
      <c r="P80" s="26">
        <f>SUM(Table134725[[#This Row],[Valor de la Factura del Cliente]:[Avance]])+P79</f>
        <v>172614.97633333332</v>
      </c>
    </row>
    <row r="81" spans="2:16" ht="16.5" customHeight="1" x14ac:dyDescent="0.45">
      <c r="B81" s="72">
        <v>45637</v>
      </c>
      <c r="C81" s="73"/>
      <c r="D81" s="73"/>
      <c r="E81" s="73"/>
      <c r="F81" s="73" t="s">
        <v>380</v>
      </c>
      <c r="G81" s="73" t="s">
        <v>295</v>
      </c>
      <c r="H81" s="74"/>
      <c r="I81" s="74"/>
      <c r="J81" s="74"/>
      <c r="K81" s="74"/>
      <c r="L81" s="74"/>
      <c r="M81" s="74"/>
      <c r="N81" s="74">
        <v>-690</v>
      </c>
      <c r="O81" s="74"/>
      <c r="P81" s="26">
        <f>SUM(Table134725[[#This Row],[Valor de la Factura del Cliente]:[Avance]])+P80</f>
        <v>171924.97633333332</v>
      </c>
    </row>
    <row r="82" spans="2:16" ht="16.5" customHeight="1" x14ac:dyDescent="0.45">
      <c r="B82" s="72">
        <v>45659</v>
      </c>
      <c r="C82" s="73"/>
      <c r="D82" s="73"/>
      <c r="E82" s="73"/>
      <c r="F82" s="73" t="s">
        <v>380</v>
      </c>
      <c r="G82" s="73" t="s">
        <v>295</v>
      </c>
      <c r="H82" s="74"/>
      <c r="I82" s="74"/>
      <c r="J82" s="74"/>
      <c r="K82" s="74"/>
      <c r="L82" s="74"/>
      <c r="M82" s="74"/>
      <c r="N82" s="74">
        <v>-24900</v>
      </c>
      <c r="O82" s="74"/>
      <c r="P82" s="26">
        <f>SUM(Table134725[[#This Row],[Valor de la Factura del Cliente]:[Avance]])+P81</f>
        <v>147024.97633333332</v>
      </c>
    </row>
    <row r="83" spans="2:16" ht="16.5" customHeight="1" x14ac:dyDescent="0.45">
      <c r="B83" s="72">
        <v>45660</v>
      </c>
      <c r="C83" s="73"/>
      <c r="D83" s="73"/>
      <c r="E83" s="73"/>
      <c r="F83" s="73" t="s">
        <v>737</v>
      </c>
      <c r="G83" s="73" t="s">
        <v>792</v>
      </c>
      <c r="H83" s="74"/>
      <c r="I83" s="74"/>
      <c r="J83" s="74"/>
      <c r="K83" s="74"/>
      <c r="L83" s="74"/>
      <c r="M83" s="74"/>
      <c r="N83" s="74">
        <v>-132.4</v>
      </c>
      <c r="O83" s="74"/>
      <c r="P83" s="26">
        <f>SUM(Table134725[[#This Row],[Valor de la Factura del Cliente]:[Avance]])+P82</f>
        <v>146892.57633333333</v>
      </c>
    </row>
    <row r="84" spans="2:16" ht="16.5" customHeight="1" x14ac:dyDescent="0.45">
      <c r="B84" s="72">
        <v>45660</v>
      </c>
      <c r="C84" s="73"/>
      <c r="D84" s="73"/>
      <c r="E84" s="73"/>
      <c r="F84" s="73" t="s">
        <v>712</v>
      </c>
      <c r="G84" s="73" t="s">
        <v>793</v>
      </c>
      <c r="H84" s="74"/>
      <c r="I84" s="74"/>
      <c r="J84" s="74"/>
      <c r="K84" s="74"/>
      <c r="L84" s="74"/>
      <c r="M84" s="74"/>
      <c r="N84" s="74">
        <v>-135</v>
      </c>
      <c r="O84" s="74"/>
      <c r="P84" s="26">
        <f>SUM(Table134725[[#This Row],[Valor de la Factura del Cliente]:[Avance]])+P83</f>
        <v>146757.57633333333</v>
      </c>
    </row>
    <row r="85" spans="2:16" ht="16.5" customHeight="1" x14ac:dyDescent="0.45">
      <c r="B85" s="72">
        <v>45665</v>
      </c>
      <c r="C85" s="73"/>
      <c r="D85" s="73"/>
      <c r="E85" s="73"/>
      <c r="F85" s="73" t="s">
        <v>737</v>
      </c>
      <c r="G85" s="73" t="s">
        <v>794</v>
      </c>
      <c r="H85" s="74"/>
      <c r="I85" s="74"/>
      <c r="J85" s="74"/>
      <c r="K85" s="74"/>
      <c r="L85" s="74"/>
      <c r="M85" s="74"/>
      <c r="N85" s="74">
        <v>-97.8</v>
      </c>
      <c r="O85" s="74"/>
      <c r="P85" s="26">
        <f>SUM(Table134725[[#This Row],[Valor de la Factura del Cliente]:[Avance]])+P84</f>
        <v>146659.77633333334</v>
      </c>
    </row>
    <row r="86" spans="2:16" ht="16.5" customHeight="1" x14ac:dyDescent="0.45">
      <c r="B86" s="72">
        <v>45672</v>
      </c>
      <c r="C86" s="73"/>
      <c r="D86" s="73"/>
      <c r="E86" s="73"/>
      <c r="F86" s="73" t="s">
        <v>738</v>
      </c>
      <c r="G86" s="73" t="s">
        <v>795</v>
      </c>
      <c r="H86" s="74"/>
      <c r="I86" s="74"/>
      <c r="J86" s="74"/>
      <c r="K86" s="74"/>
      <c r="L86" s="74"/>
      <c r="M86" s="74"/>
      <c r="N86" s="74">
        <v>-391.61</v>
      </c>
      <c r="O86" s="74"/>
      <c r="P86" s="26">
        <f>SUM(Table134725[[#This Row],[Valor de la Factura del Cliente]:[Avance]])+P85</f>
        <v>146268.16633333336</v>
      </c>
    </row>
    <row r="87" spans="2:16" ht="16.5" customHeight="1" x14ac:dyDescent="0.45">
      <c r="B87" s="72">
        <v>45691</v>
      </c>
      <c r="C87" s="73"/>
      <c r="D87" s="73"/>
      <c r="E87" s="73"/>
      <c r="F87" s="73" t="s">
        <v>739</v>
      </c>
      <c r="G87" s="73" t="s">
        <v>107</v>
      </c>
      <c r="H87" s="74"/>
      <c r="I87" s="74"/>
      <c r="J87" s="74"/>
      <c r="K87" s="74"/>
      <c r="L87" s="74"/>
      <c r="M87" s="74"/>
      <c r="N87" s="74">
        <v>-2500</v>
      </c>
      <c r="O87" s="74"/>
      <c r="P87" s="26">
        <f>SUM(Table134725[[#This Row],[Valor de la Factura del Cliente]:[Avance]])+P86</f>
        <v>143768.16633333336</v>
      </c>
    </row>
    <row r="88" spans="2:16" ht="16.5" customHeight="1" x14ac:dyDescent="0.45">
      <c r="B88" s="72">
        <v>45692</v>
      </c>
      <c r="C88" s="73"/>
      <c r="D88" s="73"/>
      <c r="E88" s="73"/>
      <c r="F88" s="73" t="s">
        <v>740</v>
      </c>
      <c r="G88" s="73" t="s">
        <v>796</v>
      </c>
      <c r="H88" s="74"/>
      <c r="I88" s="74"/>
      <c r="J88" s="74"/>
      <c r="K88" s="74"/>
      <c r="L88" s="74"/>
      <c r="M88" s="74"/>
      <c r="N88" s="74">
        <v>-438.65</v>
      </c>
      <c r="O88" s="74"/>
      <c r="P88" s="26">
        <f>SUM(Table134725[[#This Row],[Valor de la Factura del Cliente]:[Avance]])+P87</f>
        <v>143329.51633333336</v>
      </c>
    </row>
    <row r="89" spans="2:16" ht="16.5" customHeight="1" x14ac:dyDescent="0.45">
      <c r="B89" s="72">
        <v>45692</v>
      </c>
      <c r="C89" s="73"/>
      <c r="D89" s="73"/>
      <c r="E89" s="73"/>
      <c r="F89" s="73" t="s">
        <v>740</v>
      </c>
      <c r="G89" s="73" t="s">
        <v>796</v>
      </c>
      <c r="H89" s="74"/>
      <c r="I89" s="74"/>
      <c r="J89" s="74"/>
      <c r="K89" s="74"/>
      <c r="L89" s="74"/>
      <c r="M89" s="74"/>
      <c r="N89" s="74">
        <v>-205.64</v>
      </c>
      <c r="O89" s="74"/>
      <c r="P89" s="26">
        <f>SUM(Table134725[[#This Row],[Valor de la Factura del Cliente]:[Avance]])+P88</f>
        <v>143123.87633333335</v>
      </c>
    </row>
    <row r="90" spans="2:16" ht="16.5" customHeight="1" x14ac:dyDescent="0.45">
      <c r="B90" s="72">
        <v>45694</v>
      </c>
      <c r="C90" s="73"/>
      <c r="D90" s="73"/>
      <c r="E90" s="73"/>
      <c r="F90" s="73" t="s">
        <v>741</v>
      </c>
      <c r="G90" s="73" t="s">
        <v>797</v>
      </c>
      <c r="H90" s="74"/>
      <c r="I90" s="74"/>
      <c r="J90" s="74"/>
      <c r="K90" s="74"/>
      <c r="L90" s="74"/>
      <c r="M90" s="74"/>
      <c r="N90" s="74">
        <v>-217.11</v>
      </c>
      <c r="O90" s="74"/>
      <c r="P90" s="26">
        <f>SUM(Table134725[[#This Row],[Valor de la Factura del Cliente]:[Avance]])+P89</f>
        <v>142906.76633333336</v>
      </c>
    </row>
    <row r="91" spans="2:16" ht="16.5" customHeight="1" x14ac:dyDescent="0.45">
      <c r="B91" s="72">
        <v>45704</v>
      </c>
      <c r="C91" s="73"/>
      <c r="D91" s="73"/>
      <c r="E91" s="73"/>
      <c r="F91" s="73" t="s">
        <v>740</v>
      </c>
      <c r="G91" s="73" t="s">
        <v>798</v>
      </c>
      <c r="H91" s="74"/>
      <c r="I91" s="74"/>
      <c r="J91" s="74"/>
      <c r="K91" s="74"/>
      <c r="L91" s="74"/>
      <c r="M91" s="74"/>
      <c r="N91" s="74">
        <v>-127.76</v>
      </c>
      <c r="O91" s="74"/>
      <c r="P91" s="26">
        <f>SUM(Table134725[[#This Row],[Valor de la Factura del Cliente]:[Avance]])+P90</f>
        <v>142779.00633333335</v>
      </c>
    </row>
    <row r="92" spans="2:16" ht="16.5" customHeight="1" x14ac:dyDescent="0.45">
      <c r="B92" s="72">
        <v>45707</v>
      </c>
      <c r="C92" s="73"/>
      <c r="D92" s="73"/>
      <c r="E92" s="73"/>
      <c r="F92" s="73" t="s">
        <v>712</v>
      </c>
      <c r="G92" s="73" t="s">
        <v>799</v>
      </c>
      <c r="H92" s="74"/>
      <c r="I92" s="74"/>
      <c r="J92" s="74"/>
      <c r="K92" s="74"/>
      <c r="L92" s="74"/>
      <c r="M92" s="74"/>
      <c r="N92" s="74">
        <v>-38.57</v>
      </c>
      <c r="O92" s="74"/>
      <c r="P92" s="26">
        <f>SUM(Table134725[[#This Row],[Valor de la Factura del Cliente]:[Avance]])+P91</f>
        <v>142740.43633333335</v>
      </c>
    </row>
    <row r="93" spans="2:16" ht="16.5" customHeight="1" x14ac:dyDescent="0.45">
      <c r="B93" s="72">
        <v>45707</v>
      </c>
      <c r="C93" s="73"/>
      <c r="D93" s="73"/>
      <c r="E93" s="73"/>
      <c r="F93" s="73" t="s">
        <v>734</v>
      </c>
      <c r="G93" s="73" t="s">
        <v>800</v>
      </c>
      <c r="H93" s="74"/>
      <c r="I93" s="74"/>
      <c r="J93" s="74"/>
      <c r="K93" s="74"/>
      <c r="L93" s="74"/>
      <c r="M93" s="74"/>
      <c r="N93" s="74">
        <v>-173.34</v>
      </c>
      <c r="O93" s="74"/>
      <c r="P93" s="26">
        <f>SUM(Table134725[[#This Row],[Valor de la Factura del Cliente]:[Avance]])+P92</f>
        <v>142567.09633333335</v>
      </c>
    </row>
    <row r="94" spans="2:16" ht="16.5" customHeight="1" x14ac:dyDescent="0.45">
      <c r="B94" s="72">
        <v>45708</v>
      </c>
      <c r="C94" s="73"/>
      <c r="D94" s="73"/>
      <c r="E94" s="73"/>
      <c r="F94" s="73" t="s">
        <v>742</v>
      </c>
      <c r="G94" s="73" t="s">
        <v>801</v>
      </c>
      <c r="H94" s="74"/>
      <c r="I94" s="74"/>
      <c r="J94" s="74"/>
      <c r="K94" s="74"/>
      <c r="L94" s="74"/>
      <c r="M94" s="74"/>
      <c r="N94" s="74">
        <v>-245.86</v>
      </c>
      <c r="O94" s="74"/>
      <c r="P94" s="26">
        <f>SUM(Table134725[[#This Row],[Valor de la Factura del Cliente]:[Avance]])+P93</f>
        <v>142321.23633333336</v>
      </c>
    </row>
    <row r="95" spans="2:16" ht="16.5" customHeight="1" x14ac:dyDescent="0.45">
      <c r="B95" s="72">
        <v>45708</v>
      </c>
      <c r="C95" s="73"/>
      <c r="D95" s="73"/>
      <c r="E95" s="73"/>
      <c r="F95" s="73" t="s">
        <v>742</v>
      </c>
      <c r="G95" s="73" t="s">
        <v>802</v>
      </c>
      <c r="H95" s="74"/>
      <c r="I95" s="74"/>
      <c r="J95" s="74"/>
      <c r="K95" s="74"/>
      <c r="L95" s="74"/>
      <c r="M95" s="74"/>
      <c r="N95" s="74">
        <v>-71.400000000000006</v>
      </c>
      <c r="O95" s="74"/>
      <c r="P95" s="26">
        <f>SUM(Table134725[[#This Row],[Valor de la Factura del Cliente]:[Avance]])+P94</f>
        <v>142249.83633333337</v>
      </c>
    </row>
    <row r="96" spans="2:16" ht="16.5" customHeight="1" x14ac:dyDescent="0.45">
      <c r="B96" s="72">
        <v>45708</v>
      </c>
      <c r="C96" s="73"/>
      <c r="D96" s="73"/>
      <c r="E96" s="73"/>
      <c r="F96" s="73" t="s">
        <v>742</v>
      </c>
      <c r="G96" s="73" t="s">
        <v>803</v>
      </c>
      <c r="H96" s="74"/>
      <c r="I96" s="74"/>
      <c r="J96" s="74"/>
      <c r="K96" s="74"/>
      <c r="L96" s="74"/>
      <c r="M96" s="74"/>
      <c r="N96" s="74">
        <v>-150.99</v>
      </c>
      <c r="O96" s="74"/>
      <c r="P96" s="26">
        <f>SUM(Table134725[[#This Row],[Valor de la Factura del Cliente]:[Avance]])+P95</f>
        <v>142098.84633333338</v>
      </c>
    </row>
    <row r="97" spans="2:16" ht="16.5" customHeight="1" x14ac:dyDescent="0.45">
      <c r="B97" s="72">
        <v>45680</v>
      </c>
      <c r="C97" s="73"/>
      <c r="D97" s="73"/>
      <c r="E97" s="73"/>
      <c r="F97" s="73" t="s">
        <v>380</v>
      </c>
      <c r="G97" s="73" t="s">
        <v>295</v>
      </c>
      <c r="H97" s="74"/>
      <c r="I97" s="74"/>
      <c r="J97" s="74"/>
      <c r="K97" s="74"/>
      <c r="L97" s="74"/>
      <c r="M97" s="74"/>
      <c r="N97" s="74">
        <v>-1250</v>
      </c>
      <c r="O97" s="74"/>
      <c r="P97" s="26">
        <f>SUM(Table134725[[#This Row],[Valor de la Factura del Cliente]:[Avance]])+P96</f>
        <v>140848.84633333338</v>
      </c>
    </row>
    <row r="98" spans="2:16" ht="16.5" customHeight="1" x14ac:dyDescent="0.45">
      <c r="B98" s="72">
        <v>45681</v>
      </c>
      <c r="C98" s="73"/>
      <c r="D98" s="73"/>
      <c r="E98" s="73"/>
      <c r="F98" s="73" t="s">
        <v>380</v>
      </c>
      <c r="G98" s="73" t="s">
        <v>295</v>
      </c>
      <c r="H98" s="74"/>
      <c r="I98" s="74"/>
      <c r="J98" s="74"/>
      <c r="K98" s="74"/>
      <c r="L98" s="74"/>
      <c r="M98" s="74"/>
      <c r="N98" s="74">
        <v>-154.99</v>
      </c>
      <c r="O98" s="74"/>
      <c r="P98" s="26">
        <f>SUM(Table134725[[#This Row],[Valor de la Factura del Cliente]:[Avance]])+P97</f>
        <v>140693.85633333339</v>
      </c>
    </row>
    <row r="99" spans="2:16" ht="16.5" customHeight="1" x14ac:dyDescent="0.45">
      <c r="B99" s="72">
        <v>45682</v>
      </c>
      <c r="C99" s="73"/>
      <c r="D99" s="73"/>
      <c r="E99" s="73"/>
      <c r="F99" s="73" t="s">
        <v>380</v>
      </c>
      <c r="G99" s="73" t="s">
        <v>295</v>
      </c>
      <c r="H99" s="74"/>
      <c r="I99" s="74"/>
      <c r="J99" s="74"/>
      <c r="K99" s="74"/>
      <c r="L99" s="74"/>
      <c r="M99" s="74"/>
      <c r="N99" s="74">
        <v>-10682.29</v>
      </c>
      <c r="O99" s="74"/>
      <c r="P99" s="26">
        <f>SUM(Table134725[[#This Row],[Valor de la Factura del Cliente]:[Avance]])+P98</f>
        <v>130011.56633333338</v>
      </c>
    </row>
    <row r="100" spans="2:16" ht="16.5" customHeight="1" x14ac:dyDescent="0.45">
      <c r="B100" s="72">
        <v>45690</v>
      </c>
      <c r="C100" s="73"/>
      <c r="D100" s="73"/>
      <c r="E100" s="73"/>
      <c r="F100" s="73" t="s">
        <v>740</v>
      </c>
      <c r="G100" s="73" t="s">
        <v>798</v>
      </c>
      <c r="H100" s="74"/>
      <c r="I100" s="74"/>
      <c r="J100" s="74"/>
      <c r="K100" s="74"/>
      <c r="L100" s="74"/>
      <c r="M100" s="74"/>
      <c r="N100" s="74">
        <v>-62.66</v>
      </c>
      <c r="O100" s="74"/>
      <c r="P100" s="26">
        <f>SUM(Table134725[[#This Row],[Valor de la Factura del Cliente]:[Avance]])+P99</f>
        <v>129948.90633333338</v>
      </c>
    </row>
    <row r="101" spans="2:16" ht="16.5" customHeight="1" x14ac:dyDescent="0.45">
      <c r="B101" s="72">
        <v>45690</v>
      </c>
      <c r="C101" s="73"/>
      <c r="D101" s="73"/>
      <c r="E101" s="73"/>
      <c r="F101" s="73" t="s">
        <v>741</v>
      </c>
      <c r="G101" s="73" t="s">
        <v>798</v>
      </c>
      <c r="H101" s="74"/>
      <c r="I101" s="74"/>
      <c r="J101" s="74"/>
      <c r="K101" s="74"/>
      <c r="L101" s="74"/>
      <c r="M101" s="74"/>
      <c r="N101" s="74">
        <v>-31.02</v>
      </c>
      <c r="O101" s="74"/>
      <c r="P101" s="26">
        <f>SUM(Table134725[[#This Row],[Valor de la Factura del Cliente]:[Avance]])+P100</f>
        <v>129917.88633333337</v>
      </c>
    </row>
    <row r="102" spans="2:16" ht="16.5" customHeight="1" x14ac:dyDescent="0.45">
      <c r="B102" s="72">
        <v>45697</v>
      </c>
      <c r="C102" s="73"/>
      <c r="D102" s="73"/>
      <c r="E102" s="73"/>
      <c r="F102" s="73" t="s">
        <v>740</v>
      </c>
      <c r="G102" s="73" t="s">
        <v>798</v>
      </c>
      <c r="H102" s="74"/>
      <c r="I102" s="74"/>
      <c r="J102" s="74"/>
      <c r="K102" s="74"/>
      <c r="L102" s="74"/>
      <c r="M102" s="74"/>
      <c r="N102" s="74">
        <v>-113.09</v>
      </c>
      <c r="O102" s="74"/>
      <c r="P102" s="26">
        <f>SUM(Table134725[[#This Row],[Valor de la Factura del Cliente]:[Avance]])+P101</f>
        <v>129804.79633333338</v>
      </c>
    </row>
    <row r="103" spans="2:16" ht="16.5" customHeight="1" x14ac:dyDescent="0.45">
      <c r="B103" s="72">
        <v>45698</v>
      </c>
      <c r="C103" s="73"/>
      <c r="D103" s="73"/>
      <c r="E103" s="73"/>
      <c r="F103" s="73" t="s">
        <v>292</v>
      </c>
      <c r="G103" s="73" t="s">
        <v>804</v>
      </c>
      <c r="H103" s="74"/>
      <c r="I103" s="74"/>
      <c r="J103" s="74"/>
      <c r="K103" s="74"/>
      <c r="L103" s="74"/>
      <c r="M103" s="74"/>
      <c r="N103" s="74">
        <v>-112.98</v>
      </c>
      <c r="O103" s="74"/>
      <c r="P103" s="26">
        <f>SUM(Table134725[[#This Row],[Valor de la Factura del Cliente]:[Avance]])+P102</f>
        <v>129691.81633333338</v>
      </c>
    </row>
    <row r="104" spans="2:16" ht="16.5" customHeight="1" x14ac:dyDescent="0.45">
      <c r="B104" s="72">
        <v>45703</v>
      </c>
      <c r="C104" s="73"/>
      <c r="D104" s="73"/>
      <c r="E104" s="73"/>
      <c r="F104" s="73" t="s">
        <v>740</v>
      </c>
      <c r="G104" s="73" t="s">
        <v>798</v>
      </c>
      <c r="H104" s="74"/>
      <c r="I104" s="74"/>
      <c r="J104" s="74"/>
      <c r="K104" s="74"/>
      <c r="L104" s="74"/>
      <c r="M104" s="74"/>
      <c r="N104" s="74">
        <v>-82.25</v>
      </c>
      <c r="O104" s="74"/>
      <c r="P104" s="26">
        <f>SUM(Table134725[[#This Row],[Valor de la Factura del Cliente]:[Avance]])+P103</f>
        <v>129609.56633333338</v>
      </c>
    </row>
    <row r="105" spans="2:16" ht="16.5" customHeight="1" x14ac:dyDescent="0.45">
      <c r="B105" s="72">
        <v>45712</v>
      </c>
      <c r="C105" s="73"/>
      <c r="D105" s="73"/>
      <c r="E105" s="73"/>
      <c r="F105" s="73" t="s">
        <v>380</v>
      </c>
      <c r="G105" s="73" t="s">
        <v>295</v>
      </c>
      <c r="H105" s="74"/>
      <c r="I105" s="74"/>
      <c r="J105" s="74"/>
      <c r="K105" s="74"/>
      <c r="L105" s="74"/>
      <c r="M105" s="74"/>
      <c r="N105" s="74">
        <v>-1250</v>
      </c>
      <c r="O105" s="74"/>
      <c r="P105" s="26">
        <f>SUM(Table134725[[#This Row],[Valor de la Factura del Cliente]:[Avance]])+P104</f>
        <v>128359.56633333338</v>
      </c>
    </row>
    <row r="106" spans="2:16" ht="16.5" customHeight="1" x14ac:dyDescent="0.45">
      <c r="B106" s="72">
        <v>45715</v>
      </c>
      <c r="C106" s="73"/>
      <c r="D106" s="73"/>
      <c r="E106" s="73"/>
      <c r="F106" s="73" t="s">
        <v>380</v>
      </c>
      <c r="G106" s="73" t="s">
        <v>295</v>
      </c>
      <c r="H106" s="74"/>
      <c r="I106" s="74"/>
      <c r="J106" s="74"/>
      <c r="K106" s="74"/>
      <c r="L106" s="74"/>
      <c r="M106" s="74"/>
      <c r="N106" s="74">
        <v>-1250</v>
      </c>
      <c r="O106" s="74"/>
      <c r="P106" s="26">
        <f>SUM(Table134725[[#This Row],[Valor de la Factura del Cliente]:[Avance]])+P105</f>
        <v>127109.56633333338</v>
      </c>
    </row>
    <row r="107" spans="2:16" ht="16.5" customHeight="1" x14ac:dyDescent="0.45">
      <c r="B107" s="72">
        <v>45730</v>
      </c>
      <c r="C107" s="73"/>
      <c r="D107" s="73"/>
      <c r="E107" s="73"/>
      <c r="F107" s="73" t="s">
        <v>743</v>
      </c>
      <c r="G107" s="73" t="s">
        <v>295</v>
      </c>
      <c r="H107" s="74"/>
      <c r="I107" s="74"/>
      <c r="J107" s="74"/>
      <c r="K107" s="74"/>
      <c r="L107" s="74"/>
      <c r="M107" s="74"/>
      <c r="N107" s="74">
        <v>-5000</v>
      </c>
      <c r="O107" s="74"/>
      <c r="P107" s="26">
        <f>SUM(Table134725[[#This Row],[Valor de la Factura del Cliente]:[Avance]])+P106</f>
        <v>122109.56633333338</v>
      </c>
    </row>
    <row r="108" spans="2:16" ht="16.5" customHeight="1" x14ac:dyDescent="0.45">
      <c r="B108" s="72">
        <v>45730</v>
      </c>
      <c r="C108" s="73"/>
      <c r="D108" s="73"/>
      <c r="E108" s="73"/>
      <c r="F108" s="73" t="s">
        <v>744</v>
      </c>
      <c r="G108" s="73" t="s">
        <v>805</v>
      </c>
      <c r="H108" s="74"/>
      <c r="I108" s="74"/>
      <c r="J108" s="74"/>
      <c r="K108" s="74"/>
      <c r="L108" s="74"/>
      <c r="M108" s="74"/>
      <c r="N108" s="74">
        <v>-604</v>
      </c>
      <c r="O108" s="74"/>
      <c r="P108" s="26">
        <f>SUM(Table134725[[#This Row],[Valor de la Factura del Cliente]:[Avance]])+P107</f>
        <v>121505.56633333338</v>
      </c>
    </row>
    <row r="109" spans="2:16" ht="16.5" customHeight="1" x14ac:dyDescent="0.45">
      <c r="B109" s="72">
        <v>45731</v>
      </c>
      <c r="C109" s="73"/>
      <c r="D109" s="73"/>
      <c r="E109" s="73"/>
      <c r="F109" s="73" t="s">
        <v>732</v>
      </c>
      <c r="G109" s="73" t="s">
        <v>295</v>
      </c>
      <c r="H109" s="74"/>
      <c r="I109" s="74"/>
      <c r="J109" s="74"/>
      <c r="K109" s="74"/>
      <c r="L109" s="74"/>
      <c r="M109" s="74"/>
      <c r="N109" s="74">
        <v>-203.99</v>
      </c>
      <c r="O109" s="74"/>
      <c r="P109" s="26">
        <f>SUM(Table134725[[#This Row],[Valor de la Factura del Cliente]:[Avance]])+P108</f>
        <v>121301.57633333337</v>
      </c>
    </row>
    <row r="110" spans="2:16" ht="16.5" customHeight="1" x14ac:dyDescent="0.45">
      <c r="B110" s="72">
        <v>45733</v>
      </c>
      <c r="C110" s="73"/>
      <c r="D110" s="73"/>
      <c r="E110" s="73"/>
      <c r="F110" s="73" t="s">
        <v>745</v>
      </c>
      <c r="G110" s="73" t="s">
        <v>806</v>
      </c>
      <c r="H110" s="74">
        <v>828.33333333333337</v>
      </c>
      <c r="I110" s="74"/>
      <c r="J110" s="74"/>
      <c r="K110" s="74">
        <f>-Table134725[[#This Row],[Valor de la Factura del Cliente]]*0.2</f>
        <v>-165.66666666666669</v>
      </c>
      <c r="L110" s="74">
        <f>-Table134725[[#This Row],[Valor de la Factura del Cliente]]*0.05</f>
        <v>-41.416666666666671</v>
      </c>
      <c r="M110" s="74"/>
      <c r="N110" s="74">
        <v>0</v>
      </c>
      <c r="O110" s="74"/>
      <c r="P110" s="26">
        <f>SUM(Table134725[[#This Row],[Valor de la Factura del Cliente]:[Avance]])+P109</f>
        <v>121922.82633333337</v>
      </c>
    </row>
    <row r="111" spans="2:16" ht="16.5" customHeight="1" x14ac:dyDescent="0.45">
      <c r="B111" s="72">
        <v>45734</v>
      </c>
      <c r="C111" s="73"/>
      <c r="D111" s="73"/>
      <c r="E111" s="73"/>
      <c r="F111" s="73" t="s">
        <v>744</v>
      </c>
      <c r="G111" s="73" t="s">
        <v>807</v>
      </c>
      <c r="H111" s="74"/>
      <c r="I111" s="74"/>
      <c r="J111" s="74"/>
      <c r="K111" s="74"/>
      <c r="L111" s="74"/>
      <c r="M111" s="74"/>
      <c r="N111" s="74">
        <v>-642.53500000000008</v>
      </c>
      <c r="O111" s="74"/>
      <c r="P111" s="26">
        <f>SUM(Table134725[[#This Row],[Valor de la Factura del Cliente]:[Avance]])+P110</f>
        <v>121280.29133333337</v>
      </c>
    </row>
    <row r="112" spans="2:16" ht="16.5" customHeight="1" x14ac:dyDescent="0.45">
      <c r="B112" s="72">
        <v>45740</v>
      </c>
      <c r="C112" s="73"/>
      <c r="D112" s="73"/>
      <c r="E112" s="73"/>
      <c r="F112" s="73" t="s">
        <v>746</v>
      </c>
      <c r="G112" s="73" t="s">
        <v>808</v>
      </c>
      <c r="H112" s="74"/>
      <c r="I112" s="74"/>
      <c r="J112" s="74"/>
      <c r="K112" s="74"/>
      <c r="L112" s="74"/>
      <c r="M112" s="74"/>
      <c r="N112" s="74">
        <v>-4012</v>
      </c>
      <c r="O112" s="74"/>
      <c r="P112" s="26">
        <f>SUM(Table134725[[#This Row],[Valor de la Factura del Cliente]:[Avance]])+P111</f>
        <v>117268.29133333337</v>
      </c>
    </row>
    <row r="113" spans="2:16" ht="16.5" customHeight="1" x14ac:dyDescent="0.45">
      <c r="B113" s="72">
        <v>45741</v>
      </c>
      <c r="C113" s="73"/>
      <c r="D113" s="73"/>
      <c r="E113" s="73"/>
      <c r="F113" s="73" t="s">
        <v>747</v>
      </c>
      <c r="G113" s="73" t="s">
        <v>809</v>
      </c>
      <c r="H113" s="74"/>
      <c r="I113" s="74"/>
      <c r="J113" s="74"/>
      <c r="K113" s="74"/>
      <c r="L113" s="74"/>
      <c r="M113" s="74"/>
      <c r="N113" s="74">
        <v>-66.3</v>
      </c>
      <c r="O113" s="74"/>
      <c r="P113" s="26">
        <f>SUM(Table134725[[#This Row],[Valor de la Factura del Cliente]:[Avance]])+P112</f>
        <v>117201.99133333337</v>
      </c>
    </row>
    <row r="114" spans="2:16" ht="16.5" customHeight="1" x14ac:dyDescent="0.45">
      <c r="B114" s="72">
        <v>45742</v>
      </c>
      <c r="C114" s="73"/>
      <c r="D114" s="73"/>
      <c r="E114" s="73"/>
      <c r="F114" s="73" t="s">
        <v>735</v>
      </c>
      <c r="G114" s="73" t="s">
        <v>788</v>
      </c>
      <c r="H114" s="74"/>
      <c r="I114" s="74"/>
      <c r="J114" s="74"/>
      <c r="K114" s="74"/>
      <c r="L114" s="74"/>
      <c r="M114" s="74"/>
      <c r="N114" s="74">
        <v>-239</v>
      </c>
      <c r="O114" s="74"/>
      <c r="P114" s="26">
        <f>SUM(Table134725[[#This Row],[Valor de la Factura del Cliente]:[Avance]])+P113</f>
        <v>116962.99133333337</v>
      </c>
    </row>
    <row r="115" spans="2:16" ht="16.5" customHeight="1" x14ac:dyDescent="0.45">
      <c r="B115" s="72">
        <v>45760</v>
      </c>
      <c r="C115" s="73"/>
      <c r="D115" s="73"/>
      <c r="E115" s="73"/>
      <c r="F115" s="73" t="s">
        <v>748</v>
      </c>
      <c r="G115" s="73" t="s">
        <v>810</v>
      </c>
      <c r="H115" s="74"/>
      <c r="I115" s="74"/>
      <c r="J115" s="74"/>
      <c r="K115" s="74"/>
      <c r="L115" s="74"/>
      <c r="M115" s="74"/>
      <c r="N115" s="74">
        <v>-792.5</v>
      </c>
      <c r="O115" s="74"/>
      <c r="P115" s="26">
        <f>SUM(Table134725[[#This Row],[Valor de la Factura del Cliente]:[Avance]])+P114</f>
        <v>116170.49133333337</v>
      </c>
    </row>
    <row r="116" spans="2:16" ht="16.5" customHeight="1" x14ac:dyDescent="0.45">
      <c r="B116" s="72">
        <v>45760</v>
      </c>
      <c r="C116" s="73"/>
      <c r="D116" s="73"/>
      <c r="E116" s="73"/>
      <c r="F116" s="73" t="s">
        <v>744</v>
      </c>
      <c r="G116" s="73" t="s">
        <v>811</v>
      </c>
      <c r="H116" s="74"/>
      <c r="I116" s="74"/>
      <c r="J116" s="74"/>
      <c r="K116" s="74"/>
      <c r="L116" s="74"/>
      <c r="M116" s="74"/>
      <c r="N116" s="74">
        <v>-122.3</v>
      </c>
      <c r="O116" s="74"/>
      <c r="P116" s="26">
        <f>SUM(Table134725[[#This Row],[Valor de la Factura del Cliente]:[Avance]])+P115</f>
        <v>116048.19133333337</v>
      </c>
    </row>
    <row r="117" spans="2:16" ht="16.5" customHeight="1" x14ac:dyDescent="0.45">
      <c r="B117" s="72">
        <v>45803</v>
      </c>
      <c r="C117" s="73"/>
      <c r="D117" s="73"/>
      <c r="E117" s="73"/>
      <c r="F117" s="73" t="s">
        <v>687</v>
      </c>
      <c r="G117" s="73" t="s">
        <v>812</v>
      </c>
      <c r="H117" s="74"/>
      <c r="I117" s="74"/>
      <c r="J117" s="74"/>
      <c r="K117" s="74"/>
      <c r="L117" s="74"/>
      <c r="M117" s="74"/>
      <c r="N117" s="74">
        <v>-93.1</v>
      </c>
      <c r="O117" s="74"/>
      <c r="P117" s="26">
        <f>SUM(Table134725[[#This Row],[Valor de la Factura del Cliente]:[Avance]])+P116</f>
        <v>115955.09133333336</v>
      </c>
    </row>
    <row r="118" spans="2:16" ht="16.5" customHeight="1" x14ac:dyDescent="0.45">
      <c r="B118" s="72">
        <v>45805</v>
      </c>
      <c r="C118" s="73"/>
      <c r="D118" s="73"/>
      <c r="E118" s="73"/>
      <c r="F118" s="73" t="s">
        <v>749</v>
      </c>
      <c r="G118" s="73" t="s">
        <v>813</v>
      </c>
      <c r="H118" s="74"/>
      <c r="I118" s="74"/>
      <c r="J118" s="74"/>
      <c r="K118" s="74"/>
      <c r="L118" s="74"/>
      <c r="M118" s="74"/>
      <c r="N118" s="74">
        <v>-305.11</v>
      </c>
      <c r="O118" s="74"/>
      <c r="P118" s="26">
        <f>SUM(Table134725[[#This Row],[Valor de la Factura del Cliente]:[Avance]])+P117</f>
        <v>115649.98133333336</v>
      </c>
    </row>
    <row r="119" spans="2:16" ht="16.5" customHeight="1" x14ac:dyDescent="0.45">
      <c r="B119" s="72">
        <v>45807</v>
      </c>
      <c r="C119" s="73"/>
      <c r="D119" s="73"/>
      <c r="E119" s="73"/>
      <c r="F119" s="73" t="s">
        <v>749</v>
      </c>
      <c r="G119" s="73" t="s">
        <v>813</v>
      </c>
      <c r="H119" s="74"/>
      <c r="I119" s="74"/>
      <c r="J119" s="74"/>
      <c r="K119" s="74"/>
      <c r="L119" s="74"/>
      <c r="M119" s="74"/>
      <c r="N119" s="74">
        <v>-317.91000000000003</v>
      </c>
      <c r="O119" s="74"/>
      <c r="P119" s="26">
        <f>SUM(Table134725[[#This Row],[Valor de la Factura del Cliente]:[Avance]])+P118</f>
        <v>115332.07133333336</v>
      </c>
    </row>
    <row r="120" spans="2:16" ht="16.5" customHeight="1" x14ac:dyDescent="0.45">
      <c r="B120" s="72">
        <v>45838</v>
      </c>
      <c r="C120" s="73"/>
      <c r="D120" s="73"/>
      <c r="E120" s="73"/>
      <c r="F120" s="73" t="s">
        <v>750</v>
      </c>
      <c r="G120" s="73" t="s">
        <v>814</v>
      </c>
      <c r="H120" s="74"/>
      <c r="I120" s="74"/>
      <c r="J120" s="74"/>
      <c r="K120" s="74"/>
      <c r="L120" s="74"/>
      <c r="M120" s="74"/>
      <c r="N120" s="74">
        <v>-3000</v>
      </c>
      <c r="O120" s="74"/>
      <c r="P120" s="26">
        <f>SUM(Table134725[[#This Row],[Valor de la Factura del Cliente]:[Avance]])+P119</f>
        <v>112332.07133333336</v>
      </c>
    </row>
    <row r="121" spans="2:16" ht="16.5" customHeight="1" x14ac:dyDescent="0.45">
      <c r="B121" s="72">
        <v>45874</v>
      </c>
      <c r="C121" s="73"/>
      <c r="D121" s="73"/>
      <c r="E121" s="73"/>
      <c r="F121" s="73" t="s">
        <v>750</v>
      </c>
      <c r="G121" s="73" t="s">
        <v>814</v>
      </c>
      <c r="H121" s="74"/>
      <c r="I121" s="74"/>
      <c r="J121" s="74"/>
      <c r="K121" s="74"/>
      <c r="L121" s="74"/>
      <c r="M121" s="74"/>
      <c r="N121" s="74">
        <v>-2100</v>
      </c>
      <c r="O121" s="74"/>
      <c r="P121" s="26">
        <f>SUM(Table134725[[#This Row],[Valor de la Factura del Cliente]:[Avance]])+P120</f>
        <v>110232.07133333336</v>
      </c>
    </row>
    <row r="122" spans="2:16" ht="16.5" customHeight="1" x14ac:dyDescent="0.45">
      <c r="B122" s="72">
        <v>45873</v>
      </c>
      <c r="C122" s="73"/>
      <c r="D122" s="73"/>
      <c r="E122" s="73"/>
      <c r="F122" s="73" t="s">
        <v>750</v>
      </c>
      <c r="G122" s="73" t="s">
        <v>814</v>
      </c>
      <c r="H122" s="74"/>
      <c r="I122" s="74"/>
      <c r="J122" s="74"/>
      <c r="K122" s="74"/>
      <c r="L122" s="74"/>
      <c r="M122" s="74"/>
      <c r="N122" s="74">
        <v>-900</v>
      </c>
      <c r="O122" s="74"/>
      <c r="P122" s="26">
        <f>SUM(Table134725[[#This Row],[Valor de la Factura del Cliente]:[Avance]])+P121</f>
        <v>109332.07133333336</v>
      </c>
    </row>
    <row r="123" spans="2:16" ht="16.5" customHeight="1" x14ac:dyDescent="0.45">
      <c r="B123" s="72">
        <v>45908</v>
      </c>
      <c r="C123" s="73"/>
      <c r="D123" s="73"/>
      <c r="E123" s="73"/>
      <c r="F123" s="73" t="s">
        <v>750</v>
      </c>
      <c r="G123" s="73" t="s">
        <v>814</v>
      </c>
      <c r="H123" s="74"/>
      <c r="I123" s="74"/>
      <c r="J123" s="74"/>
      <c r="K123" s="74"/>
      <c r="L123" s="74"/>
      <c r="M123" s="74"/>
      <c r="N123" s="74">
        <v>-3000</v>
      </c>
      <c r="O123" s="74"/>
      <c r="P123" s="26">
        <f>SUM(Table134725[[#This Row],[Valor de la Factura del Cliente]:[Avance]])+P122</f>
        <v>106332.07133333336</v>
      </c>
    </row>
    <row r="124" spans="2:16" ht="16.5" customHeight="1" x14ac:dyDescent="0.45">
      <c r="B124" s="72">
        <v>45938</v>
      </c>
      <c r="C124" s="73"/>
      <c r="D124" s="73"/>
      <c r="E124" s="73"/>
      <c r="F124" s="73" t="s">
        <v>216</v>
      </c>
      <c r="G124" s="73" t="s">
        <v>815</v>
      </c>
      <c r="H124" s="74"/>
      <c r="I124" s="74"/>
      <c r="J124" s="74"/>
      <c r="K124" s="74"/>
      <c r="L124" s="74"/>
      <c r="M124" s="74"/>
      <c r="N124" s="74">
        <v>-1459.6</v>
      </c>
      <c r="O124" s="74"/>
      <c r="P124" s="26">
        <f>SUM(Table134725[[#This Row],[Valor de la Factura del Cliente]:[Avance]])+P123</f>
        <v>104872.47133333335</v>
      </c>
    </row>
    <row r="125" spans="2:16" ht="16.5" customHeight="1" x14ac:dyDescent="0.45">
      <c r="B125" s="72">
        <v>45938</v>
      </c>
      <c r="C125" s="73"/>
      <c r="D125" s="73"/>
      <c r="E125" s="73"/>
      <c r="F125" s="73" t="s">
        <v>750</v>
      </c>
      <c r="G125" s="73" t="s">
        <v>814</v>
      </c>
      <c r="H125" s="74"/>
      <c r="I125" s="74"/>
      <c r="J125" s="74"/>
      <c r="K125" s="74"/>
      <c r="L125" s="74"/>
      <c r="M125" s="74"/>
      <c r="N125" s="74">
        <v>-3000</v>
      </c>
      <c r="O125" s="74"/>
      <c r="P125" s="26">
        <f>SUM(Table134725[[#This Row],[Valor de la Factura del Cliente]:[Avance]])+P124</f>
        <v>101872.47133333335</v>
      </c>
    </row>
    <row r="126" spans="2:16" ht="16.5" customHeight="1" thickBot="1" x14ac:dyDescent="0.5">
      <c r="B126" s="72"/>
      <c r="C126" s="73"/>
      <c r="D126" s="73"/>
      <c r="E126" s="73"/>
      <c r="F126" s="73"/>
      <c r="G126" s="73"/>
      <c r="H126" s="74"/>
      <c r="I126" s="74"/>
      <c r="J126" s="74"/>
      <c r="K126" s="74"/>
      <c r="L126" s="74"/>
      <c r="M126" s="74"/>
      <c r="N126" s="74"/>
      <c r="O126" s="74"/>
      <c r="P126" s="26">
        <f>SUM(Table134725[[#This Row],[Valor de la Factura del Cliente]:[Avance]])+P125</f>
        <v>101872.47133333335</v>
      </c>
    </row>
    <row r="127" spans="2:16" ht="16.5" customHeight="1" thickBot="1" x14ac:dyDescent="0.5">
      <c r="B127" s="22"/>
      <c r="C127" s="23"/>
      <c r="D127" s="23"/>
      <c r="E127" s="23"/>
      <c r="F127" s="23"/>
      <c r="G127" s="34" t="s">
        <v>356</v>
      </c>
      <c r="H127" s="35">
        <f>SUBTOTAL(109,Table134725[Valor de la Factura del Cliente])</f>
        <v>360828.33333333331</v>
      </c>
      <c r="I127" s="35">
        <f>SUBTOTAL(109,Table134725[Cargos Bancarios])</f>
        <v>0</v>
      </c>
      <c r="J127" s="35"/>
      <c r="K127" s="35">
        <f>SUBTOTAL(109,Table134725[20% Comisión])</f>
        <v>-165.66666666666669</v>
      </c>
      <c r="L127" s="35">
        <f>SUBTOTAL(109,Table134725[5% Legal])</f>
        <v>-41.416666666666671</v>
      </c>
      <c r="M127" s="35">
        <f>SUBTOTAL(109,Table134725[Retención de Impuestos])</f>
        <v>0</v>
      </c>
      <c r="N127" s="35">
        <f>SUBTOTAL(109,Table134725[Pagado por MVPX])</f>
        <v>-258748.77866666656</v>
      </c>
      <c r="O127" s="35">
        <f>SUBTOTAL(109,Table134725[Avance])</f>
        <v>0</v>
      </c>
      <c r="P127" s="36">
        <f>+P126</f>
        <v>101872.47133333335</v>
      </c>
    </row>
  </sheetData>
  <mergeCells count="1">
    <mergeCell ref="B7:P7"/>
  </mergeCells>
  <printOptions horizontalCentered="1"/>
  <pageMargins left="0.25" right="0.25" top="0.75" bottom="0.75" header="0.3" footer="0.3"/>
  <pageSetup scale="48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3C82-CBF2-4467-B22B-BBF68745BF0D}">
  <sheetPr>
    <pageSetUpPr fitToPage="1"/>
  </sheetPr>
  <dimension ref="B1:P34"/>
  <sheetViews>
    <sheetView showGridLines="0" view="pageLayout" topLeftCell="I1" zoomScale="70" zoomScaleNormal="100" zoomScaleSheetLayoutView="70" zoomScalePageLayoutView="70" workbookViewId="0">
      <selection activeCell="P35" sqref="P35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8" style="8" bestFit="1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21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71" t="s">
        <v>680</v>
      </c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MIN(Table134724[Fecha])</f>
        <v>45109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MAX(Table134724[Fecha])</f>
        <v>45665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/>
      <c r="C9" s="24"/>
      <c r="D9" s="24"/>
      <c r="E9" s="24"/>
      <c r="F9" s="66"/>
      <c r="G9" s="65" t="s">
        <v>693</v>
      </c>
      <c r="H9" s="25">
        <v>36500</v>
      </c>
      <c r="I9" s="25"/>
      <c r="J9" s="25"/>
      <c r="K9" s="25"/>
      <c r="L9" s="25"/>
      <c r="M9" s="25"/>
      <c r="N9" s="25"/>
      <c r="O9" s="25"/>
      <c r="P9" s="26">
        <f>SUM(Table134724[[#This Row],[Valor de la Factura del Cliente]:[Avance]])</f>
        <v>36500</v>
      </c>
    </row>
    <row r="10" spans="2:16" s="12" customFormat="1" ht="16.5" customHeight="1" x14ac:dyDescent="0.25">
      <c r="B10" s="47"/>
      <c r="C10" s="27"/>
      <c r="D10" s="27"/>
      <c r="E10" s="27"/>
      <c r="F10" s="27"/>
      <c r="G10" s="65" t="s">
        <v>694</v>
      </c>
      <c r="H10" s="28">
        <v>30000</v>
      </c>
      <c r="I10" s="28"/>
      <c r="J10" s="28"/>
      <c r="K10" s="28"/>
      <c r="L10" s="28"/>
      <c r="M10" s="28"/>
      <c r="N10" s="28"/>
      <c r="O10" s="28"/>
      <c r="P10" s="26">
        <f>SUM(Table134724[[#This Row],[Valor de la Factura del Cliente]:[Avance]])+P9</f>
        <v>66500</v>
      </c>
    </row>
    <row r="11" spans="2:16" s="12" customFormat="1" ht="16.5" customHeight="1" x14ac:dyDescent="0.25">
      <c r="B11" s="47"/>
      <c r="C11" s="27"/>
      <c r="D11" s="27"/>
      <c r="E11" s="27"/>
      <c r="F11" s="27"/>
      <c r="G11" s="65" t="s">
        <v>695</v>
      </c>
      <c r="H11" s="28">
        <v>12500</v>
      </c>
      <c r="I11" s="28"/>
      <c r="J11" s="28"/>
      <c r="K11" s="28"/>
      <c r="L11" s="28"/>
      <c r="M11" s="28"/>
      <c r="N11" s="28"/>
      <c r="O11" s="28"/>
      <c r="P11" s="26">
        <f>SUM(Table134724[[#This Row],[Valor de la Factura del Cliente]:[Avance]])+P10</f>
        <v>79000</v>
      </c>
    </row>
    <row r="12" spans="2:16" s="12" customFormat="1" ht="16.5" customHeight="1" x14ac:dyDescent="0.25">
      <c r="B12" s="47"/>
      <c r="C12" s="27"/>
      <c r="D12" s="27"/>
      <c r="E12" s="27"/>
      <c r="F12" s="27"/>
      <c r="G12" s="65" t="s">
        <v>696</v>
      </c>
      <c r="H12" s="28"/>
      <c r="I12" s="28"/>
      <c r="J12" s="28"/>
      <c r="K12" s="28"/>
      <c r="L12" s="28"/>
      <c r="M12" s="28"/>
      <c r="N12" s="28">
        <v>-1000</v>
      </c>
      <c r="O12" s="28"/>
      <c r="P12" s="26">
        <f>SUM(Table134724[[#This Row],[Valor de la Factura del Cliente]:[Avance]])+P11</f>
        <v>78000</v>
      </c>
    </row>
    <row r="13" spans="2:16" s="12" customFormat="1" ht="16.5" customHeight="1" x14ac:dyDescent="0.25">
      <c r="B13" s="47">
        <v>45109</v>
      </c>
      <c r="C13" s="27"/>
      <c r="D13" s="27"/>
      <c r="E13" s="27"/>
      <c r="F13" s="27" t="s">
        <v>21</v>
      </c>
      <c r="G13" s="65" t="s">
        <v>102</v>
      </c>
      <c r="H13" s="28"/>
      <c r="I13" s="28">
        <v>-7.99</v>
      </c>
      <c r="J13" s="28"/>
      <c r="K13" s="28"/>
      <c r="L13" s="28"/>
      <c r="M13" s="28"/>
      <c r="N13" s="28">
        <v>-800</v>
      </c>
      <c r="O13" s="28"/>
      <c r="P13" s="26">
        <f>SUM(Table134724[[#This Row],[Valor de la Factura del Cliente]:[Avance]])+P12</f>
        <v>77192.009999999995</v>
      </c>
    </row>
    <row r="14" spans="2:16" s="12" customFormat="1" ht="16.5" customHeight="1" x14ac:dyDescent="0.25">
      <c r="B14" s="47">
        <v>45139</v>
      </c>
      <c r="C14" s="27"/>
      <c r="D14" s="27"/>
      <c r="E14" s="27"/>
      <c r="F14" s="27" t="s">
        <v>21</v>
      </c>
      <c r="G14" s="65" t="s">
        <v>102</v>
      </c>
      <c r="H14" s="28"/>
      <c r="I14" s="28">
        <v>-7.99</v>
      </c>
      <c r="J14" s="28"/>
      <c r="K14" s="28"/>
      <c r="L14" s="28"/>
      <c r="M14" s="28"/>
      <c r="N14" s="28">
        <v>-800</v>
      </c>
      <c r="O14" s="28"/>
      <c r="P14" s="26">
        <f>SUM(Table134724[[#This Row],[Valor de la Factura del Cliente]:[Avance]])+P13</f>
        <v>76384.01999999999</v>
      </c>
    </row>
    <row r="15" spans="2:16" s="12" customFormat="1" ht="16.5" customHeight="1" x14ac:dyDescent="0.25">
      <c r="B15" s="47">
        <v>45175</v>
      </c>
      <c r="C15" s="27"/>
      <c r="D15" s="27"/>
      <c r="E15" s="27"/>
      <c r="F15" s="27" t="s">
        <v>21</v>
      </c>
      <c r="G15" s="65" t="s">
        <v>102</v>
      </c>
      <c r="H15" s="28"/>
      <c r="I15" s="28">
        <v>-7.99</v>
      </c>
      <c r="J15" s="28"/>
      <c r="K15" s="28"/>
      <c r="L15" s="28"/>
      <c r="M15" s="28"/>
      <c r="N15" s="28">
        <v>-800</v>
      </c>
      <c r="O15" s="28"/>
      <c r="P15" s="26">
        <f>SUM(Table134724[[#This Row],[Valor de la Factura del Cliente]:[Avance]])+P14</f>
        <v>75576.029999999984</v>
      </c>
    </row>
    <row r="16" spans="2:16" s="12" customFormat="1" ht="16.5" customHeight="1" x14ac:dyDescent="0.25">
      <c r="B16" s="47">
        <v>45191</v>
      </c>
      <c r="C16" s="27"/>
      <c r="D16" s="27"/>
      <c r="E16" s="27"/>
      <c r="F16" s="27" t="s">
        <v>21</v>
      </c>
      <c r="G16" s="65" t="s">
        <v>102</v>
      </c>
      <c r="H16" s="28"/>
      <c r="I16" s="28">
        <v>-7.99</v>
      </c>
      <c r="J16" s="28"/>
      <c r="K16" s="28"/>
      <c r="L16" s="28"/>
      <c r="M16" s="28"/>
      <c r="N16" s="28">
        <v>-800</v>
      </c>
      <c r="O16" s="28"/>
      <c r="P16" s="26">
        <f>SUM(Table134724[[#This Row],[Valor de la Factura del Cliente]:[Avance]])+P15</f>
        <v>74768.039999999979</v>
      </c>
    </row>
    <row r="17" spans="2:16" s="12" customFormat="1" ht="16.5" customHeight="1" x14ac:dyDescent="0.25">
      <c r="B17" s="47">
        <v>45233</v>
      </c>
      <c r="C17" s="27"/>
      <c r="D17" s="27"/>
      <c r="E17" s="27"/>
      <c r="F17" s="27" t="s">
        <v>21</v>
      </c>
      <c r="G17" s="65" t="s">
        <v>102</v>
      </c>
      <c r="H17" s="28"/>
      <c r="I17" s="28">
        <v>-7.99</v>
      </c>
      <c r="J17" s="28"/>
      <c r="K17" s="28"/>
      <c r="L17" s="28"/>
      <c r="M17" s="28"/>
      <c r="N17" s="28">
        <v>-800</v>
      </c>
      <c r="O17" s="28"/>
      <c r="P17" s="26">
        <f>SUM(Table134724[[#This Row],[Valor de la Factura del Cliente]:[Avance]])+P16</f>
        <v>73960.049999999974</v>
      </c>
    </row>
    <row r="18" spans="2:16" s="12" customFormat="1" ht="16.5" customHeight="1" x14ac:dyDescent="0.25">
      <c r="B18" s="47">
        <v>45233</v>
      </c>
      <c r="C18" s="27"/>
      <c r="D18" s="27"/>
      <c r="E18" s="27"/>
      <c r="F18" s="27" t="s">
        <v>21</v>
      </c>
      <c r="G18" s="65" t="s">
        <v>102</v>
      </c>
      <c r="H18" s="28"/>
      <c r="I18" s="28">
        <v>-25</v>
      </c>
      <c r="J18" s="28"/>
      <c r="K18" s="28"/>
      <c r="L18" s="28"/>
      <c r="M18" s="28"/>
      <c r="N18" s="28">
        <v>-5000</v>
      </c>
      <c r="O18" s="28"/>
      <c r="P18" s="26">
        <f>SUM(Table134724[[#This Row],[Valor de la Factura del Cliente]:[Avance]])+P17</f>
        <v>68935.049999999974</v>
      </c>
    </row>
    <row r="19" spans="2:16" s="12" customFormat="1" ht="16.5" customHeight="1" x14ac:dyDescent="0.25">
      <c r="B19" s="47">
        <v>45278</v>
      </c>
      <c r="C19" s="27"/>
      <c r="D19" s="27"/>
      <c r="E19" s="27"/>
      <c r="F19" s="27" t="s">
        <v>21</v>
      </c>
      <c r="G19" s="65" t="s">
        <v>102</v>
      </c>
      <c r="H19" s="28"/>
      <c r="I19" s="28">
        <v>-7.99</v>
      </c>
      <c r="J19" s="28"/>
      <c r="K19" s="28"/>
      <c r="L19" s="28"/>
      <c r="M19" s="28"/>
      <c r="N19" s="28">
        <v>-1000</v>
      </c>
      <c r="O19" s="28"/>
      <c r="P19" s="26">
        <f>SUM(Table134724[[#This Row],[Valor de la Factura del Cliente]:[Avance]])+P18</f>
        <v>67927.059999999969</v>
      </c>
    </row>
    <row r="20" spans="2:16" s="12" customFormat="1" ht="16.5" customHeight="1" x14ac:dyDescent="0.25">
      <c r="B20" s="47">
        <v>45279</v>
      </c>
      <c r="C20" s="27"/>
      <c r="D20" s="27"/>
      <c r="E20" s="27"/>
      <c r="F20" s="27" t="s">
        <v>21</v>
      </c>
      <c r="G20" s="65" t="s">
        <v>102</v>
      </c>
      <c r="H20" s="28"/>
      <c r="I20" s="28">
        <v>-25</v>
      </c>
      <c r="J20" s="28"/>
      <c r="K20" s="28"/>
      <c r="L20" s="28"/>
      <c r="M20" s="28"/>
      <c r="N20" s="28">
        <v>-5000</v>
      </c>
      <c r="O20" s="28"/>
      <c r="P20" s="26">
        <f>SUM(Table134724[[#This Row],[Valor de la Factura del Cliente]:[Avance]])+P19</f>
        <v>62902.059999999969</v>
      </c>
    </row>
    <row r="21" spans="2:16" s="12" customFormat="1" ht="16.5" customHeight="1" x14ac:dyDescent="0.25">
      <c r="B21" s="47">
        <v>45414</v>
      </c>
      <c r="C21" s="27"/>
      <c r="D21" s="27"/>
      <c r="E21" s="27"/>
      <c r="F21" s="27" t="s">
        <v>681</v>
      </c>
      <c r="G21" s="65" t="s">
        <v>697</v>
      </c>
      <c r="H21" s="28"/>
      <c r="I21" s="28"/>
      <c r="J21" s="28"/>
      <c r="K21" s="28"/>
      <c r="L21" s="28"/>
      <c r="M21" s="28"/>
      <c r="N21" s="28">
        <v>-42.05</v>
      </c>
      <c r="O21" s="28"/>
      <c r="P21" s="26">
        <f>SUM(Table134724[[#This Row],[Valor de la Factura del Cliente]:[Avance]])+P20</f>
        <v>62860.009999999966</v>
      </c>
    </row>
    <row r="22" spans="2:16" s="12" customFormat="1" ht="16.5" customHeight="1" x14ac:dyDescent="0.25">
      <c r="B22" s="47">
        <v>45464</v>
      </c>
      <c r="C22" s="27"/>
      <c r="D22" s="27"/>
      <c r="E22" s="27"/>
      <c r="F22" s="27" t="s">
        <v>682</v>
      </c>
      <c r="G22" s="65" t="s">
        <v>698</v>
      </c>
      <c r="H22" s="28"/>
      <c r="I22" s="28"/>
      <c r="J22" s="28"/>
      <c r="K22" s="28"/>
      <c r="L22" s="28"/>
      <c r="M22" s="28"/>
      <c r="N22" s="28">
        <v>-690</v>
      </c>
      <c r="O22" s="28"/>
      <c r="P22" s="26">
        <f>SUM(Table134724[[#This Row],[Valor de la Factura del Cliente]:[Avance]])+P21</f>
        <v>62170.009999999966</v>
      </c>
    </row>
    <row r="23" spans="2:16" s="12" customFormat="1" ht="16.5" customHeight="1" x14ac:dyDescent="0.25">
      <c r="B23" s="47">
        <v>45486</v>
      </c>
      <c r="C23" s="27"/>
      <c r="D23" s="27"/>
      <c r="E23" s="27"/>
      <c r="F23" s="27" t="s">
        <v>683</v>
      </c>
      <c r="G23" s="65" t="s">
        <v>699</v>
      </c>
      <c r="H23" s="28"/>
      <c r="I23" s="28"/>
      <c r="J23" s="28"/>
      <c r="K23" s="28"/>
      <c r="L23" s="28"/>
      <c r="M23" s="28"/>
      <c r="N23" s="28">
        <v>-224.1</v>
      </c>
      <c r="O23" s="28"/>
      <c r="P23" s="26">
        <f>SUM(Table134724[[#This Row],[Valor de la Factura del Cliente]:[Avance]])+P22</f>
        <v>61945.909999999967</v>
      </c>
    </row>
    <row r="24" spans="2:16" s="12" customFormat="1" ht="16.5" customHeight="1" x14ac:dyDescent="0.25">
      <c r="B24" s="47">
        <v>45494</v>
      </c>
      <c r="C24" s="27"/>
      <c r="D24" s="27"/>
      <c r="E24" s="27"/>
      <c r="F24" s="27" t="s">
        <v>684</v>
      </c>
      <c r="G24" s="65" t="s">
        <v>700</v>
      </c>
      <c r="H24" s="28"/>
      <c r="I24" s="28"/>
      <c r="J24" s="28"/>
      <c r="K24" s="28"/>
      <c r="L24" s="28"/>
      <c r="M24" s="28"/>
      <c r="N24" s="28">
        <v>-52.045999999999999</v>
      </c>
      <c r="O24" s="28"/>
      <c r="P24" s="26">
        <f>SUM(Table134724[[#This Row],[Valor de la Factura del Cliente]:[Avance]])+P23</f>
        <v>61893.863999999965</v>
      </c>
    </row>
    <row r="25" spans="2:16" s="12" customFormat="1" ht="16.5" customHeight="1" x14ac:dyDescent="0.25">
      <c r="B25" s="47">
        <v>45502</v>
      </c>
      <c r="C25" s="27"/>
      <c r="D25" s="27"/>
      <c r="E25" s="27"/>
      <c r="F25" s="27" t="s">
        <v>685</v>
      </c>
      <c r="G25" s="65" t="s">
        <v>701</v>
      </c>
      <c r="H25" s="28"/>
      <c r="I25" s="28"/>
      <c r="J25" s="28"/>
      <c r="K25" s="28"/>
      <c r="L25" s="28"/>
      <c r="M25" s="28"/>
      <c r="N25" s="28">
        <v>-61.672499999999999</v>
      </c>
      <c r="O25" s="28"/>
      <c r="P25" s="26">
        <f>SUM(Table134724[[#This Row],[Valor de la Factura del Cliente]:[Avance]])+P24</f>
        <v>61832.191499999964</v>
      </c>
    </row>
    <row r="26" spans="2:16" s="12" customFormat="1" ht="16.5" customHeight="1" x14ac:dyDescent="0.25">
      <c r="B26" s="47">
        <v>45506</v>
      </c>
      <c r="C26" s="27"/>
      <c r="D26" s="27"/>
      <c r="E26" s="27"/>
      <c r="F26" s="27" t="s">
        <v>686</v>
      </c>
      <c r="G26" s="65" t="s">
        <v>701</v>
      </c>
      <c r="H26" s="28"/>
      <c r="I26" s="28"/>
      <c r="J26" s="28"/>
      <c r="K26" s="28"/>
      <c r="L26" s="28"/>
      <c r="M26" s="28"/>
      <c r="N26" s="28">
        <v>-65.512500000000003</v>
      </c>
      <c r="O26" s="28"/>
      <c r="P26" s="26">
        <f>SUM(Table134724[[#This Row],[Valor de la Factura del Cliente]:[Avance]])+P25</f>
        <v>61766.678999999967</v>
      </c>
    </row>
    <row r="27" spans="2:16" s="12" customFormat="1" ht="16.5" customHeight="1" x14ac:dyDescent="0.25">
      <c r="B27" s="47">
        <v>45509</v>
      </c>
      <c r="C27" s="27"/>
      <c r="D27" s="27"/>
      <c r="E27" s="27"/>
      <c r="F27" s="27" t="s">
        <v>687</v>
      </c>
      <c r="G27" s="65" t="s">
        <v>702</v>
      </c>
      <c r="H27" s="28"/>
      <c r="I27" s="28"/>
      <c r="J27" s="28"/>
      <c r="K27" s="28"/>
      <c r="L27" s="28"/>
      <c r="M27" s="28"/>
      <c r="N27" s="28">
        <v>-836.8</v>
      </c>
      <c r="O27" s="28"/>
      <c r="P27" s="26">
        <f>SUM(Table134724[[#This Row],[Valor de la Factura del Cliente]:[Avance]])+P26</f>
        <v>60929.878999999964</v>
      </c>
    </row>
    <row r="28" spans="2:16" s="12" customFormat="1" ht="16.5" customHeight="1" x14ac:dyDescent="0.25">
      <c r="B28" s="47">
        <v>45629</v>
      </c>
      <c r="C28" s="27"/>
      <c r="D28" s="27"/>
      <c r="E28" s="27"/>
      <c r="F28" s="27" t="s">
        <v>688</v>
      </c>
      <c r="G28" s="65" t="s">
        <v>703</v>
      </c>
      <c r="H28" s="28"/>
      <c r="I28" s="28"/>
      <c r="J28" s="28"/>
      <c r="K28" s="28"/>
      <c r="L28" s="28"/>
      <c r="M28" s="28"/>
      <c r="N28" s="28">
        <v>-600</v>
      </c>
      <c r="O28" s="28"/>
      <c r="P28" s="26">
        <f>SUM(Table134724[[#This Row],[Valor de la Factura del Cliente]:[Avance]])+P27</f>
        <v>60329.878999999964</v>
      </c>
    </row>
    <row r="29" spans="2:16" s="12" customFormat="1" ht="16.5" customHeight="1" x14ac:dyDescent="0.25">
      <c r="B29" s="47">
        <v>45646</v>
      </c>
      <c r="C29" s="27"/>
      <c r="D29" s="27"/>
      <c r="E29" s="27"/>
      <c r="F29" s="27" t="s">
        <v>689</v>
      </c>
      <c r="G29" s="65" t="s">
        <v>704</v>
      </c>
      <c r="H29" s="28"/>
      <c r="I29" s="28"/>
      <c r="J29" s="28"/>
      <c r="K29" s="28"/>
      <c r="L29" s="28"/>
      <c r="M29" s="28"/>
      <c r="N29" s="28">
        <v>-274.47000000000003</v>
      </c>
      <c r="O29" s="28"/>
      <c r="P29" s="26">
        <f>SUM(Table134724[[#This Row],[Valor de la Factura del Cliente]:[Avance]])+P28</f>
        <v>60055.408999999963</v>
      </c>
    </row>
    <row r="30" spans="2:16" s="12" customFormat="1" ht="16.5" customHeight="1" x14ac:dyDescent="0.25">
      <c r="B30" s="47">
        <v>45658</v>
      </c>
      <c r="C30" s="27"/>
      <c r="D30" s="27"/>
      <c r="E30" s="27"/>
      <c r="F30" s="27" t="s">
        <v>690</v>
      </c>
      <c r="G30" s="65" t="s">
        <v>705</v>
      </c>
      <c r="H30" s="28"/>
      <c r="I30" s="28"/>
      <c r="J30" s="28"/>
      <c r="K30" s="28"/>
      <c r="L30" s="28"/>
      <c r="M30" s="28"/>
      <c r="N30" s="28">
        <v>-345</v>
      </c>
      <c r="O30" s="28"/>
      <c r="P30" s="26">
        <f>SUM(Table134724[[#This Row],[Valor de la Factura del Cliente]:[Avance]])+P29</f>
        <v>59710.408999999963</v>
      </c>
    </row>
    <row r="31" spans="2:16" s="12" customFormat="1" ht="16.5" customHeight="1" x14ac:dyDescent="0.25">
      <c r="B31" s="47">
        <v>45660</v>
      </c>
      <c r="C31" s="27"/>
      <c r="D31" s="27"/>
      <c r="E31" s="27"/>
      <c r="F31" s="27" t="s">
        <v>691</v>
      </c>
      <c r="G31" s="65" t="s">
        <v>706</v>
      </c>
      <c r="H31" s="28"/>
      <c r="I31" s="28"/>
      <c r="J31" s="28"/>
      <c r="K31" s="28"/>
      <c r="L31" s="28"/>
      <c r="M31" s="28"/>
      <c r="N31" s="28">
        <v>-132.4</v>
      </c>
      <c r="O31" s="28"/>
      <c r="P31" s="26">
        <f>SUM(Table134724[[#This Row],[Valor de la Factura del Cliente]:[Avance]])+P30</f>
        <v>59578.008999999962</v>
      </c>
    </row>
    <row r="32" spans="2:16" s="12" customFormat="1" ht="16.5" customHeight="1" x14ac:dyDescent="0.25">
      <c r="B32" s="47">
        <v>45660</v>
      </c>
      <c r="C32" s="27"/>
      <c r="D32" s="27"/>
      <c r="E32" s="27"/>
      <c r="F32" s="27" t="s">
        <v>692</v>
      </c>
      <c r="G32" s="65" t="s">
        <v>707</v>
      </c>
      <c r="H32" s="28"/>
      <c r="I32" s="28"/>
      <c r="J32" s="28"/>
      <c r="K32" s="28"/>
      <c r="L32" s="28"/>
      <c r="M32" s="28"/>
      <c r="N32" s="28">
        <v>-135</v>
      </c>
      <c r="O32" s="28"/>
      <c r="P32" s="26">
        <f>SUM(Table134724[[#This Row],[Valor de la Factura del Cliente]:[Avance]])+P31</f>
        <v>59443.008999999962</v>
      </c>
    </row>
    <row r="33" spans="2:16" s="12" customFormat="1" ht="16.5" customHeight="1" thickBot="1" x14ac:dyDescent="0.3">
      <c r="B33" s="47">
        <v>45665</v>
      </c>
      <c r="C33" s="27"/>
      <c r="D33" s="27"/>
      <c r="E33" s="27"/>
      <c r="F33" s="27" t="s">
        <v>691</v>
      </c>
      <c r="G33" s="65" t="s">
        <v>708</v>
      </c>
      <c r="H33" s="28"/>
      <c r="I33" s="28"/>
      <c r="J33" s="28"/>
      <c r="K33" s="28"/>
      <c r="L33" s="28"/>
      <c r="M33" s="28"/>
      <c r="N33" s="28">
        <v>-97.8</v>
      </c>
      <c r="O33" s="28"/>
      <c r="P33" s="26">
        <f>SUM(Table134724[[#This Row],[Valor de la Factura del Cliente]:[Avance]])+P32</f>
        <v>59345.208999999959</v>
      </c>
    </row>
    <row r="34" spans="2:16" ht="16.5" customHeight="1" thickBot="1" x14ac:dyDescent="0.5">
      <c r="B34" s="22"/>
      <c r="C34" s="23"/>
      <c r="D34" s="23"/>
      <c r="E34" s="23"/>
      <c r="F34" s="23"/>
      <c r="G34" s="34" t="s">
        <v>356</v>
      </c>
      <c r="H34" s="35">
        <f>SUBTOTAL(109,Table134724[Valor de la Factura del Cliente])</f>
        <v>79000</v>
      </c>
      <c r="I34" s="35">
        <f>SUBTOTAL(109,Table134724[Cargos Bancarios])</f>
        <v>-97.94</v>
      </c>
      <c r="J34" s="35"/>
      <c r="K34" s="35">
        <f>SUBTOTAL(109,Table134724[20% Comisión])</f>
        <v>0</v>
      </c>
      <c r="L34" s="35">
        <f>SUBTOTAL(109,Table134724[5% Legal])</f>
        <v>0</v>
      </c>
      <c r="M34" s="35">
        <f>SUBTOTAL(109,Table134724[Retención de Impuestos])</f>
        <v>0</v>
      </c>
      <c r="N34" s="35">
        <f>SUBTOTAL(109,Table134724[Pagado por MVPX])</f>
        <v>-19556.850999999999</v>
      </c>
      <c r="O34" s="35">
        <f>SUBTOTAL(109,Table134724[Avance])</f>
        <v>0</v>
      </c>
      <c r="P34" s="36">
        <f>+P33</f>
        <v>59345.208999999959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2FC1-8524-4858-BC54-6D9EB5F0E974}">
  <sheetPr>
    <pageSetUpPr fitToPage="1"/>
  </sheetPr>
  <dimension ref="B1:P17"/>
  <sheetViews>
    <sheetView showGridLines="0" view="pageLayout" topLeftCell="G1" zoomScale="70" zoomScaleNormal="100" zoomScaleSheetLayoutView="70" zoomScalePageLayoutView="70" workbookViewId="0">
      <selection activeCell="P18" sqref="P18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9" style="8" bestFit="1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594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 t="str">
        <f>+E2</f>
        <v>Samuel Velazquez</v>
      </c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MIN(Table134710[Fecha])</f>
        <v>45219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MAX(Table134710[Fecha])</f>
        <v>45555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>
        <v>45404</v>
      </c>
      <c r="C9" s="24"/>
      <c r="D9" s="24"/>
      <c r="E9" s="24"/>
      <c r="F9" s="66" t="s">
        <v>594</v>
      </c>
      <c r="G9" s="65" t="s">
        <v>678</v>
      </c>
      <c r="H9" s="25">
        <v>3600</v>
      </c>
      <c r="I9" s="25"/>
      <c r="J9" s="25"/>
      <c r="K9" s="25"/>
      <c r="L9" s="25"/>
      <c r="M9" s="25"/>
      <c r="N9" s="25"/>
      <c r="O9" s="25"/>
      <c r="P9" s="26">
        <f>SUM(Table134710[[#This Row],[Valor de la Factura del Cliente]:[Avance]])</f>
        <v>3600</v>
      </c>
    </row>
    <row r="10" spans="2:16" s="12" customFormat="1" ht="16.5" customHeight="1" x14ac:dyDescent="0.25">
      <c r="B10" s="47">
        <v>45219</v>
      </c>
      <c r="C10" s="27"/>
      <c r="D10" s="27"/>
      <c r="E10" s="27"/>
      <c r="F10" s="27" t="s">
        <v>594</v>
      </c>
      <c r="G10" s="65" t="s">
        <v>268</v>
      </c>
      <c r="H10" s="28"/>
      <c r="I10" s="28"/>
      <c r="J10" s="28"/>
      <c r="K10" s="28"/>
      <c r="L10" s="28"/>
      <c r="M10" s="28"/>
      <c r="N10" s="28">
        <v>-654.45000000000005</v>
      </c>
      <c r="O10" s="28"/>
      <c r="P10" s="26">
        <f>SUM(Table134710[[#This Row],[Valor de la Factura del Cliente]:[Avance]])+P9</f>
        <v>2945.55</v>
      </c>
    </row>
    <row r="11" spans="2:16" s="12" customFormat="1" ht="16.5" customHeight="1" x14ac:dyDescent="0.25">
      <c r="B11" s="47">
        <v>45413</v>
      </c>
      <c r="C11" s="27"/>
      <c r="D11" s="27"/>
      <c r="E11" s="27"/>
      <c r="F11" s="27" t="s">
        <v>594</v>
      </c>
      <c r="G11" s="65" t="s">
        <v>268</v>
      </c>
      <c r="H11" s="28"/>
      <c r="I11" s="28"/>
      <c r="J11" s="28"/>
      <c r="K11" s="28"/>
      <c r="L11" s="28"/>
      <c r="M11" s="28"/>
      <c r="N11" s="28">
        <v>-804.99</v>
      </c>
      <c r="O11" s="28"/>
      <c r="P11" s="26">
        <f>SUM(Table134710[[#This Row],[Valor de la Factura del Cliente]:[Avance]])+P10</f>
        <v>2140.5600000000004</v>
      </c>
    </row>
    <row r="12" spans="2:16" s="12" customFormat="1" ht="16.5" customHeight="1" x14ac:dyDescent="0.25">
      <c r="B12" s="47">
        <v>45465</v>
      </c>
      <c r="C12" s="27"/>
      <c r="D12" s="27"/>
      <c r="E12" s="27"/>
      <c r="F12" s="27" t="s">
        <v>594</v>
      </c>
      <c r="G12" s="65" t="s">
        <v>268</v>
      </c>
      <c r="H12" s="28"/>
      <c r="I12" s="28"/>
      <c r="J12" s="28"/>
      <c r="K12" s="28"/>
      <c r="L12" s="28"/>
      <c r="M12" s="28"/>
      <c r="N12" s="28">
        <v>-597</v>
      </c>
      <c r="O12" s="28"/>
      <c r="P12" s="26">
        <f>SUM(Table134710[[#This Row],[Valor de la Factura del Cliente]:[Avance]])+P11</f>
        <v>1543.5600000000004</v>
      </c>
    </row>
    <row r="13" spans="2:16" s="12" customFormat="1" ht="16.5" customHeight="1" x14ac:dyDescent="0.25">
      <c r="B13" s="47">
        <v>45553</v>
      </c>
      <c r="C13" s="27"/>
      <c r="D13" s="27"/>
      <c r="E13" s="27"/>
      <c r="F13" s="27" t="s">
        <v>594</v>
      </c>
      <c r="G13" s="65" t="s">
        <v>268</v>
      </c>
      <c r="H13" s="28"/>
      <c r="I13" s="28"/>
      <c r="J13" s="28"/>
      <c r="K13" s="28"/>
      <c r="L13" s="28"/>
      <c r="M13" s="28"/>
      <c r="N13" s="28">
        <v>-550</v>
      </c>
      <c r="O13" s="28"/>
      <c r="P13" s="26">
        <f>SUM(Table134710[[#This Row],[Valor de la Factura del Cliente]:[Avance]])+P12</f>
        <v>993.5600000000004</v>
      </c>
    </row>
    <row r="14" spans="2:16" s="12" customFormat="1" ht="16.5" customHeight="1" x14ac:dyDescent="0.25">
      <c r="B14" s="47">
        <v>45554</v>
      </c>
      <c r="C14" s="27"/>
      <c r="D14" s="27"/>
      <c r="E14" s="27"/>
      <c r="F14" s="27" t="s">
        <v>677</v>
      </c>
      <c r="G14" s="65" t="s">
        <v>679</v>
      </c>
      <c r="H14" s="28"/>
      <c r="I14" s="28"/>
      <c r="J14" s="28"/>
      <c r="K14" s="28"/>
      <c r="L14" s="28"/>
      <c r="M14" s="28"/>
      <c r="N14" s="28">
        <v>-160</v>
      </c>
      <c r="O14" s="28"/>
      <c r="P14" s="26">
        <f>SUM(Table134710[[#This Row],[Valor de la Factura del Cliente]:[Avance]])+P13</f>
        <v>833.5600000000004</v>
      </c>
    </row>
    <row r="15" spans="2:16" s="12" customFormat="1" ht="16.5" customHeight="1" x14ac:dyDescent="0.25">
      <c r="B15" s="47">
        <v>45555</v>
      </c>
      <c r="C15" s="27"/>
      <c r="D15" s="27"/>
      <c r="E15" s="27"/>
      <c r="F15" s="27" t="s">
        <v>594</v>
      </c>
      <c r="G15" s="65" t="s">
        <v>268</v>
      </c>
      <c r="H15" s="28"/>
      <c r="I15" s="28"/>
      <c r="J15" s="28"/>
      <c r="K15" s="28"/>
      <c r="L15" s="28"/>
      <c r="M15" s="28"/>
      <c r="N15" s="28">
        <v>-832.5</v>
      </c>
      <c r="O15" s="28"/>
      <c r="P15" s="26">
        <f>SUM(Table134710[[#This Row],[Valor de la Factura del Cliente]:[Avance]])+P14</f>
        <v>1.0600000000004002</v>
      </c>
    </row>
    <row r="16" spans="2:16" s="12" customFormat="1" ht="16.5" customHeight="1" thickBot="1" x14ac:dyDescent="0.3">
      <c r="B16" s="47">
        <v>45332</v>
      </c>
      <c r="C16" s="27"/>
      <c r="D16" s="27"/>
      <c r="E16" s="27"/>
      <c r="F16" s="27" t="s">
        <v>594</v>
      </c>
      <c r="G16" s="65" t="s">
        <v>268</v>
      </c>
      <c r="H16" s="28"/>
      <c r="I16" s="28"/>
      <c r="J16" s="28"/>
      <c r="K16" s="28"/>
      <c r="L16" s="28"/>
      <c r="M16" s="28"/>
      <c r="N16" s="28">
        <v>-841.99</v>
      </c>
      <c r="O16" s="28"/>
      <c r="P16" s="26">
        <f>SUM(Table134710[[#This Row],[Valor de la Factura del Cliente]:[Avance]])+P15</f>
        <v>-840.92999999999961</v>
      </c>
    </row>
    <row r="17" spans="2:16" ht="16.5" customHeight="1" thickBot="1" x14ac:dyDescent="0.5">
      <c r="B17" s="22"/>
      <c r="C17" s="23"/>
      <c r="D17" s="23"/>
      <c r="E17" s="23"/>
      <c r="F17" s="23"/>
      <c r="G17" s="34" t="s">
        <v>356</v>
      </c>
      <c r="H17" s="35">
        <f>SUBTOTAL(109,Table134710[Valor de la Factura del Cliente])</f>
        <v>3600</v>
      </c>
      <c r="I17" s="35">
        <f>SUBTOTAL(109,Table134710[Cargos Bancarios])</f>
        <v>0</v>
      </c>
      <c r="J17" s="35"/>
      <c r="K17" s="35">
        <f>SUBTOTAL(109,Table134710[20% Comisión])</f>
        <v>0</v>
      </c>
      <c r="L17" s="35">
        <f>SUBTOTAL(109,Table134710[5% Legal])</f>
        <v>0</v>
      </c>
      <c r="M17" s="35">
        <f>SUBTOTAL(109,Table134710[Retención de Impuestos])</f>
        <v>0</v>
      </c>
      <c r="N17" s="35">
        <f>SUBTOTAL(109,Table134710[Pagado por MVPX])</f>
        <v>-4440.93</v>
      </c>
      <c r="O17" s="35">
        <f>SUBTOTAL(109,Table134710[Avance])</f>
        <v>0</v>
      </c>
      <c r="P17" s="36">
        <f>+P16</f>
        <v>-840.92999999999961</v>
      </c>
    </row>
  </sheetData>
  <mergeCells count="1">
    <mergeCell ref="B7:P7"/>
  </mergeCells>
  <printOptions horizontalCentered="1"/>
  <pageMargins left="0.25" right="0.25" top="0.75" bottom="0.75" header="0.3" footer="0.3"/>
  <pageSetup scale="48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D322-A890-4B99-8364-7A64C7F62630}">
  <sheetPr>
    <pageSetUpPr fitToPage="1"/>
  </sheetPr>
  <dimension ref="B1:P121"/>
  <sheetViews>
    <sheetView showGridLines="0" view="pageLayout" topLeftCell="H103" zoomScale="70" zoomScaleNormal="100" zoomScaleSheetLayoutView="70" zoomScalePageLayoutView="70" workbookViewId="0">
      <selection activeCell="P122" sqref="P122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7.85546875" style="8" customWidth="1"/>
    <col min="7" max="7" width="42.285156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21.5703125" style="8" bestFit="1" customWidth="1"/>
    <col min="15" max="15" width="14" style="8" customWidth="1"/>
    <col min="16" max="16" width="20.140625" style="8" bestFit="1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70" t="s">
        <v>584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71" t="s">
        <v>584</v>
      </c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MIN(Table13473[Fecha])</f>
        <v>45166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MAX(Table13473[Fecha])</f>
        <v>45945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>
        <v>45166</v>
      </c>
      <c r="C9" s="24"/>
      <c r="D9" s="24"/>
      <c r="E9" s="24"/>
      <c r="F9" s="66" t="s">
        <v>585</v>
      </c>
      <c r="G9" s="65" t="s">
        <v>268</v>
      </c>
      <c r="H9" s="25"/>
      <c r="I9" s="25"/>
      <c r="J9" s="25"/>
      <c r="K9" s="25"/>
      <c r="L9" s="25"/>
      <c r="M9" s="25"/>
      <c r="N9" s="25">
        <v>-20000</v>
      </c>
      <c r="O9" s="25"/>
      <c r="P9" s="26">
        <f>SUM(Table13473[[#This Row],[Valor de la Factura del Cliente]:[Avance]])</f>
        <v>-20000</v>
      </c>
    </row>
    <row r="10" spans="2:16" s="12" customFormat="1" ht="16.5" customHeight="1" x14ac:dyDescent="0.25">
      <c r="B10" s="47">
        <v>45166</v>
      </c>
      <c r="C10" s="27"/>
      <c r="D10" s="27"/>
      <c r="E10" s="27"/>
      <c r="F10" s="27" t="s">
        <v>586</v>
      </c>
      <c r="G10" s="65" t="s">
        <v>268</v>
      </c>
      <c r="H10" s="28"/>
      <c r="I10" s="28"/>
      <c r="J10" s="28"/>
      <c r="K10" s="28"/>
      <c r="L10" s="28"/>
      <c r="M10" s="28"/>
      <c r="N10" s="28">
        <v>-70000</v>
      </c>
      <c r="O10" s="28"/>
      <c r="P10" s="26">
        <f>SUM(Table13473[[#This Row],[Valor de la Factura del Cliente]:[Avance]])+P9</f>
        <v>-90000</v>
      </c>
    </row>
    <row r="11" spans="2:16" s="12" customFormat="1" ht="16.5" customHeight="1" x14ac:dyDescent="0.25">
      <c r="B11" s="47">
        <v>45191</v>
      </c>
      <c r="C11" s="27"/>
      <c r="D11" s="27"/>
      <c r="E11" s="27"/>
      <c r="F11" s="27" t="s">
        <v>584</v>
      </c>
      <c r="G11" s="65" t="s">
        <v>268</v>
      </c>
      <c r="H11" s="28"/>
      <c r="I11" s="28"/>
      <c r="J11" s="28"/>
      <c r="K11" s="28"/>
      <c r="L11" s="28"/>
      <c r="M11" s="28"/>
      <c r="N11" s="28">
        <v>-5000</v>
      </c>
      <c r="O11" s="28"/>
      <c r="P11" s="26">
        <f>SUM(Table13473[[#This Row],[Valor de la Factura del Cliente]:[Avance]])+P10</f>
        <v>-95000</v>
      </c>
    </row>
    <row r="12" spans="2:16" s="12" customFormat="1" ht="16.5" customHeight="1" x14ac:dyDescent="0.25">
      <c r="B12" s="47">
        <v>45199</v>
      </c>
      <c r="C12" s="27"/>
      <c r="D12" s="27"/>
      <c r="E12" s="27"/>
      <c r="F12" s="27" t="s">
        <v>587</v>
      </c>
      <c r="G12" s="65" t="s">
        <v>626</v>
      </c>
      <c r="H12" s="28"/>
      <c r="I12" s="28"/>
      <c r="J12" s="28"/>
      <c r="K12" s="28"/>
      <c r="L12" s="28"/>
      <c r="M12" s="28"/>
      <c r="N12" s="28">
        <v>-300</v>
      </c>
      <c r="O12" s="28"/>
      <c r="P12" s="26">
        <f>SUM(Table13473[[#This Row],[Valor de la Factura del Cliente]:[Avance]])+P11</f>
        <v>-95300</v>
      </c>
    </row>
    <row r="13" spans="2:16" s="12" customFormat="1" ht="16.5" customHeight="1" x14ac:dyDescent="0.25">
      <c r="B13" s="47">
        <v>45200</v>
      </c>
      <c r="C13" s="27"/>
      <c r="D13" s="27"/>
      <c r="E13" s="27"/>
      <c r="F13" s="27" t="s">
        <v>588</v>
      </c>
      <c r="G13" s="65" t="s">
        <v>627</v>
      </c>
      <c r="H13" s="28"/>
      <c r="I13" s="28"/>
      <c r="J13" s="28"/>
      <c r="K13" s="28"/>
      <c r="L13" s="28"/>
      <c r="M13" s="28"/>
      <c r="N13" s="28">
        <v>-12000</v>
      </c>
      <c r="O13" s="28"/>
      <c r="P13" s="26">
        <f>SUM(Table13473[[#This Row],[Valor de la Factura del Cliente]:[Avance]])+P12</f>
        <v>-107300</v>
      </c>
    </row>
    <row r="14" spans="2:16" s="12" customFormat="1" ht="16.5" customHeight="1" x14ac:dyDescent="0.25">
      <c r="B14" s="47">
        <v>45375</v>
      </c>
      <c r="C14" s="27"/>
      <c r="D14" s="27"/>
      <c r="E14" s="27"/>
      <c r="F14" s="27" t="s">
        <v>584</v>
      </c>
      <c r="G14" s="65" t="s">
        <v>628</v>
      </c>
      <c r="H14" s="28"/>
      <c r="I14" s="28"/>
      <c r="J14" s="28"/>
      <c r="K14" s="28"/>
      <c r="L14" s="28"/>
      <c r="M14" s="28"/>
      <c r="N14" s="28">
        <v>-28800</v>
      </c>
      <c r="O14" s="28"/>
      <c r="P14" s="26">
        <f>SUM(Table13473[[#This Row],[Valor de la Factura del Cliente]:[Avance]])+P13</f>
        <v>-136100</v>
      </c>
    </row>
    <row r="15" spans="2:16" s="12" customFormat="1" ht="16.5" customHeight="1" x14ac:dyDescent="0.25">
      <c r="B15" s="47">
        <v>45386</v>
      </c>
      <c r="C15" s="27"/>
      <c r="D15" s="27"/>
      <c r="E15" s="27"/>
      <c r="F15" s="27" t="s">
        <v>587</v>
      </c>
      <c r="G15" s="65" t="s">
        <v>629</v>
      </c>
      <c r="H15" s="28"/>
      <c r="I15" s="28"/>
      <c r="J15" s="28"/>
      <c r="K15" s="28"/>
      <c r="L15" s="28"/>
      <c r="M15" s="28"/>
      <c r="N15" s="28">
        <v>-364.58</v>
      </c>
      <c r="O15" s="28"/>
      <c r="P15" s="26">
        <f>SUM(Table13473[[#This Row],[Valor de la Factura del Cliente]:[Avance]])+P14</f>
        <v>-136464.57999999999</v>
      </c>
    </row>
    <row r="16" spans="2:16" s="12" customFormat="1" ht="16.5" customHeight="1" x14ac:dyDescent="0.25">
      <c r="B16" s="47">
        <v>45387</v>
      </c>
      <c r="C16" s="27"/>
      <c r="D16" s="27"/>
      <c r="E16" s="27"/>
      <c r="F16" s="27" t="s">
        <v>588</v>
      </c>
      <c r="G16" s="65" t="s">
        <v>630</v>
      </c>
      <c r="H16" s="28"/>
      <c r="I16" s="28"/>
      <c r="J16" s="28"/>
      <c r="K16" s="28"/>
      <c r="L16" s="28"/>
      <c r="M16" s="28"/>
      <c r="N16" s="28">
        <v>-8982.19</v>
      </c>
      <c r="O16" s="28"/>
      <c r="P16" s="26">
        <f>SUM(Table13473[[#This Row],[Valor de la Factura del Cliente]:[Avance]])+P15</f>
        <v>-145446.76999999999</v>
      </c>
    </row>
    <row r="17" spans="2:16" s="12" customFormat="1" ht="16.5" customHeight="1" x14ac:dyDescent="0.25">
      <c r="B17" s="47">
        <v>45387</v>
      </c>
      <c r="C17" s="27"/>
      <c r="D17" s="27"/>
      <c r="E17" s="27"/>
      <c r="F17" s="27" t="s">
        <v>589</v>
      </c>
      <c r="G17" s="65" t="s">
        <v>629</v>
      </c>
      <c r="H17" s="28"/>
      <c r="I17" s="28"/>
      <c r="J17" s="28"/>
      <c r="K17" s="28"/>
      <c r="L17" s="28"/>
      <c r="M17" s="28"/>
      <c r="N17" s="28">
        <v>-2500</v>
      </c>
      <c r="O17" s="28"/>
      <c r="P17" s="26">
        <f>SUM(Table13473[[#This Row],[Valor de la Factura del Cliente]:[Avance]])+P16</f>
        <v>-147946.76999999999</v>
      </c>
    </row>
    <row r="18" spans="2:16" s="12" customFormat="1" ht="16.5" customHeight="1" x14ac:dyDescent="0.25">
      <c r="B18" s="47">
        <v>45396</v>
      </c>
      <c r="C18" s="27"/>
      <c r="D18" s="27"/>
      <c r="E18" s="27"/>
      <c r="F18" s="27" t="s">
        <v>590</v>
      </c>
      <c r="G18" s="65" t="s">
        <v>631</v>
      </c>
      <c r="H18" s="28"/>
      <c r="I18" s="28"/>
      <c r="J18" s="28"/>
      <c r="K18" s="28"/>
      <c r="L18" s="28"/>
      <c r="M18" s="28"/>
      <c r="N18" s="28">
        <v>-9239</v>
      </c>
      <c r="O18" s="28"/>
      <c r="P18" s="26">
        <f>SUM(Table13473[[#This Row],[Valor de la Factura del Cliente]:[Avance]])+P17</f>
        <v>-157185.76999999999</v>
      </c>
    </row>
    <row r="19" spans="2:16" s="12" customFormat="1" ht="16.5" customHeight="1" x14ac:dyDescent="0.25">
      <c r="B19" s="47">
        <v>45400</v>
      </c>
      <c r="C19" s="27"/>
      <c r="D19" s="27"/>
      <c r="E19" s="27"/>
      <c r="F19" s="27" t="s">
        <v>584</v>
      </c>
      <c r="G19" s="65" t="s">
        <v>632</v>
      </c>
      <c r="H19" s="28"/>
      <c r="I19" s="28"/>
      <c r="J19" s="28"/>
      <c r="K19" s="28"/>
      <c r="L19" s="28"/>
      <c r="M19" s="28"/>
      <c r="N19" s="28">
        <v>-4075</v>
      </c>
      <c r="O19" s="28"/>
      <c r="P19" s="26">
        <f>SUM(Table13473[[#This Row],[Valor de la Factura del Cliente]:[Avance]])+P18</f>
        <v>-161260.76999999999</v>
      </c>
    </row>
    <row r="20" spans="2:16" s="12" customFormat="1" ht="16.5" customHeight="1" x14ac:dyDescent="0.25">
      <c r="B20" s="47">
        <v>45401</v>
      </c>
      <c r="C20" s="27"/>
      <c r="D20" s="27"/>
      <c r="E20" s="27"/>
      <c r="F20" s="27" t="s">
        <v>587</v>
      </c>
      <c r="G20" s="65" t="s">
        <v>633</v>
      </c>
      <c r="H20" s="28"/>
      <c r="I20" s="28"/>
      <c r="J20" s="28"/>
      <c r="K20" s="28"/>
      <c r="L20" s="28"/>
      <c r="M20" s="28"/>
      <c r="N20" s="28">
        <v>-421.92</v>
      </c>
      <c r="O20" s="28"/>
      <c r="P20" s="26">
        <f>SUM(Table13473[[#This Row],[Valor de la Factura del Cliente]:[Avance]])+P19</f>
        <v>-161682.69</v>
      </c>
    </row>
    <row r="21" spans="2:16" s="12" customFormat="1" ht="16.5" customHeight="1" x14ac:dyDescent="0.25">
      <c r="B21" s="47">
        <v>45402</v>
      </c>
      <c r="C21" s="27"/>
      <c r="D21" s="27"/>
      <c r="E21" s="27"/>
      <c r="F21" s="27" t="s">
        <v>591</v>
      </c>
      <c r="G21" s="65" t="s">
        <v>634</v>
      </c>
      <c r="H21" s="28"/>
      <c r="I21" s="28"/>
      <c r="J21" s="28"/>
      <c r="K21" s="28"/>
      <c r="L21" s="28"/>
      <c r="M21" s="28"/>
      <c r="N21" s="28">
        <v>-7000</v>
      </c>
      <c r="O21" s="28"/>
      <c r="P21" s="26">
        <f>SUM(Table13473[[#This Row],[Valor de la Factura del Cliente]:[Avance]])+P20</f>
        <v>-168682.69</v>
      </c>
    </row>
    <row r="22" spans="2:16" s="12" customFormat="1" ht="16.5" customHeight="1" x14ac:dyDescent="0.25">
      <c r="B22" s="47">
        <v>45402</v>
      </c>
      <c r="C22" s="27"/>
      <c r="D22" s="27"/>
      <c r="E22" s="27"/>
      <c r="F22" s="27" t="s">
        <v>584</v>
      </c>
      <c r="G22" s="65" t="s">
        <v>635</v>
      </c>
      <c r="H22" s="28"/>
      <c r="I22" s="28"/>
      <c r="J22" s="28"/>
      <c r="K22" s="28"/>
      <c r="L22" s="28"/>
      <c r="M22" s="28"/>
      <c r="N22" s="28">
        <v>-3021.13</v>
      </c>
      <c r="O22" s="28"/>
      <c r="P22" s="26">
        <f>SUM(Table13473[[#This Row],[Valor de la Factura del Cliente]:[Avance]])+P21</f>
        <v>-171703.82</v>
      </c>
    </row>
    <row r="23" spans="2:16" s="12" customFormat="1" ht="16.5" customHeight="1" x14ac:dyDescent="0.25">
      <c r="B23" s="47">
        <v>45402</v>
      </c>
      <c r="C23" s="27"/>
      <c r="D23" s="27"/>
      <c r="E23" s="27"/>
      <c r="F23" s="27" t="s">
        <v>587</v>
      </c>
      <c r="G23" s="65" t="s">
        <v>633</v>
      </c>
      <c r="H23" s="28"/>
      <c r="I23" s="28"/>
      <c r="J23" s="28"/>
      <c r="K23" s="28"/>
      <c r="L23" s="28"/>
      <c r="M23" s="28"/>
      <c r="N23" s="28">
        <v>-194.3</v>
      </c>
      <c r="O23" s="28"/>
      <c r="P23" s="26">
        <f>SUM(Table13473[[#This Row],[Valor de la Factura del Cliente]:[Avance]])+P22</f>
        <v>-171898.12</v>
      </c>
    </row>
    <row r="24" spans="2:16" s="12" customFormat="1" ht="16.5" customHeight="1" x14ac:dyDescent="0.25">
      <c r="B24" s="47">
        <v>45404</v>
      </c>
      <c r="C24" s="27"/>
      <c r="D24" s="27"/>
      <c r="E24" s="27"/>
      <c r="F24" s="27" t="s">
        <v>584</v>
      </c>
      <c r="G24" s="65" t="s">
        <v>632</v>
      </c>
      <c r="H24" s="28"/>
      <c r="I24" s="28"/>
      <c r="J24" s="28"/>
      <c r="K24" s="28"/>
      <c r="L24" s="28"/>
      <c r="M24" s="28"/>
      <c r="N24" s="28">
        <v>-9605.6200000000008</v>
      </c>
      <c r="O24" s="28"/>
      <c r="P24" s="26">
        <f>SUM(Table13473[[#This Row],[Valor de la Factura del Cliente]:[Avance]])+P23</f>
        <v>-181503.74</v>
      </c>
    </row>
    <row r="25" spans="2:16" s="12" customFormat="1" ht="16.5" customHeight="1" x14ac:dyDescent="0.25">
      <c r="B25" s="47">
        <v>45431</v>
      </c>
      <c r="C25" s="27"/>
      <c r="D25" s="27"/>
      <c r="E25" s="27"/>
      <c r="F25" s="27" t="s">
        <v>127</v>
      </c>
      <c r="G25" s="65" t="s">
        <v>636</v>
      </c>
      <c r="H25" s="28"/>
      <c r="I25" s="28"/>
      <c r="J25" s="28"/>
      <c r="K25" s="28"/>
      <c r="L25" s="28"/>
      <c r="M25" s="28"/>
      <c r="N25" s="28">
        <v>-18000</v>
      </c>
      <c r="O25" s="28"/>
      <c r="P25" s="26">
        <f>SUM(Table13473[[#This Row],[Valor de la Factura del Cliente]:[Avance]])+P24</f>
        <v>-199503.74</v>
      </c>
    </row>
    <row r="26" spans="2:16" s="12" customFormat="1" ht="16.5" customHeight="1" x14ac:dyDescent="0.25">
      <c r="B26" s="47">
        <v>45431</v>
      </c>
      <c r="C26" s="27"/>
      <c r="D26" s="27"/>
      <c r="E26" s="27"/>
      <c r="F26" s="27" t="s">
        <v>592</v>
      </c>
      <c r="G26" s="65" t="s">
        <v>255</v>
      </c>
      <c r="H26" s="28"/>
      <c r="I26" s="28"/>
      <c r="J26" s="28"/>
      <c r="K26" s="28"/>
      <c r="L26" s="28"/>
      <c r="M26" s="28"/>
      <c r="N26" s="28">
        <v>-8538</v>
      </c>
      <c r="O26" s="28"/>
      <c r="P26" s="26">
        <f>SUM(Table13473[[#This Row],[Valor de la Factura del Cliente]:[Avance]])+P25</f>
        <v>-208041.74</v>
      </c>
    </row>
    <row r="27" spans="2:16" s="12" customFormat="1" ht="16.5" customHeight="1" x14ac:dyDescent="0.25">
      <c r="B27" s="47">
        <v>45433</v>
      </c>
      <c r="C27" s="27"/>
      <c r="D27" s="27"/>
      <c r="E27" s="27"/>
      <c r="F27" s="27" t="s">
        <v>590</v>
      </c>
      <c r="G27" s="65" t="s">
        <v>107</v>
      </c>
      <c r="H27" s="28"/>
      <c r="I27" s="28"/>
      <c r="J27" s="28"/>
      <c r="K27" s="28"/>
      <c r="L27" s="28"/>
      <c r="M27" s="28"/>
      <c r="N27" s="28">
        <v>-3885</v>
      </c>
      <c r="O27" s="28"/>
      <c r="P27" s="26">
        <f>SUM(Table13473[[#This Row],[Valor de la Factura del Cliente]:[Avance]])+P26</f>
        <v>-211926.74</v>
      </c>
    </row>
    <row r="28" spans="2:16" s="12" customFormat="1" ht="16.5" customHeight="1" x14ac:dyDescent="0.25">
      <c r="B28" s="47">
        <v>45433</v>
      </c>
      <c r="C28" s="27"/>
      <c r="D28" s="27"/>
      <c r="E28" s="27"/>
      <c r="F28" s="27" t="s">
        <v>593</v>
      </c>
      <c r="G28" s="65" t="s">
        <v>637</v>
      </c>
      <c r="H28" s="28"/>
      <c r="I28" s="28"/>
      <c r="J28" s="28"/>
      <c r="K28" s="28"/>
      <c r="L28" s="28"/>
      <c r="M28" s="28"/>
      <c r="N28" s="28">
        <v>-48000</v>
      </c>
      <c r="O28" s="28"/>
      <c r="P28" s="26">
        <f>SUM(Table13473[[#This Row],[Valor de la Factura del Cliente]:[Avance]])+P27</f>
        <v>-259926.74</v>
      </c>
    </row>
    <row r="29" spans="2:16" s="12" customFormat="1" ht="16.5" customHeight="1" x14ac:dyDescent="0.25">
      <c r="B29" s="47">
        <v>45456</v>
      </c>
      <c r="C29" s="27"/>
      <c r="D29" s="27"/>
      <c r="E29" s="27"/>
      <c r="F29" s="27" t="s">
        <v>594</v>
      </c>
      <c r="G29" s="65" t="s">
        <v>638</v>
      </c>
      <c r="H29" s="28"/>
      <c r="I29" s="28"/>
      <c r="J29" s="28"/>
      <c r="K29" s="28"/>
      <c r="L29" s="28"/>
      <c r="M29" s="28"/>
      <c r="N29" s="28">
        <v>-28320</v>
      </c>
      <c r="O29" s="28"/>
      <c r="P29" s="26">
        <f>SUM(Table13473[[#This Row],[Valor de la Factura del Cliente]:[Avance]])+P28</f>
        <v>-288246.74</v>
      </c>
    </row>
    <row r="30" spans="2:16" s="12" customFormat="1" ht="16.5" customHeight="1" x14ac:dyDescent="0.25">
      <c r="B30" s="47">
        <v>45463</v>
      </c>
      <c r="C30" s="27"/>
      <c r="D30" s="27"/>
      <c r="E30" s="27"/>
      <c r="F30" s="27" t="s">
        <v>595</v>
      </c>
      <c r="G30" s="65" t="s">
        <v>639</v>
      </c>
      <c r="H30" s="28"/>
      <c r="I30" s="28"/>
      <c r="J30" s="28"/>
      <c r="K30" s="28"/>
      <c r="L30" s="28"/>
      <c r="M30" s="28"/>
      <c r="N30" s="28">
        <v>-890000</v>
      </c>
      <c r="O30" s="28"/>
      <c r="P30" s="26">
        <f>SUM(Table13473[[#This Row],[Valor de la Factura del Cliente]:[Avance]])+P29</f>
        <v>-1178246.74</v>
      </c>
    </row>
    <row r="31" spans="2:16" s="12" customFormat="1" ht="16.5" customHeight="1" x14ac:dyDescent="0.25">
      <c r="B31" s="47">
        <v>45467</v>
      </c>
      <c r="C31" s="27"/>
      <c r="D31" s="27"/>
      <c r="E31" s="27"/>
      <c r="F31" s="27" t="s">
        <v>596</v>
      </c>
      <c r="G31" s="65" t="s">
        <v>640</v>
      </c>
      <c r="H31" s="28"/>
      <c r="I31" s="28"/>
      <c r="J31" s="28"/>
      <c r="K31" s="28"/>
      <c r="L31" s="28"/>
      <c r="M31" s="28"/>
      <c r="N31" s="28">
        <v>-10000</v>
      </c>
      <c r="O31" s="28"/>
      <c r="P31" s="26">
        <f>SUM(Table13473[[#This Row],[Valor de la Factura del Cliente]:[Avance]])+P30</f>
        <v>-1188246.74</v>
      </c>
    </row>
    <row r="32" spans="2:16" s="12" customFormat="1" ht="16.5" customHeight="1" x14ac:dyDescent="0.25">
      <c r="B32" s="47">
        <v>45470</v>
      </c>
      <c r="C32" s="27"/>
      <c r="D32" s="27"/>
      <c r="E32" s="27"/>
      <c r="F32" s="27" t="s">
        <v>597</v>
      </c>
      <c r="G32" s="65" t="s">
        <v>641</v>
      </c>
      <c r="H32" s="28"/>
      <c r="I32" s="28"/>
      <c r="J32" s="28"/>
      <c r="K32" s="28"/>
      <c r="L32" s="28"/>
      <c r="M32" s="28"/>
      <c r="N32" s="28">
        <v>-34584</v>
      </c>
      <c r="O32" s="28"/>
      <c r="P32" s="26">
        <f>SUM(Table13473[[#This Row],[Valor de la Factura del Cliente]:[Avance]])+P31</f>
        <v>-1222830.74</v>
      </c>
    </row>
    <row r="33" spans="2:16" s="12" customFormat="1" ht="16.5" customHeight="1" x14ac:dyDescent="0.25">
      <c r="B33" s="47">
        <v>45489</v>
      </c>
      <c r="C33" s="27"/>
      <c r="D33" s="27"/>
      <c r="E33" s="27"/>
      <c r="F33" s="27" t="s">
        <v>597</v>
      </c>
      <c r="G33" s="65" t="s">
        <v>641</v>
      </c>
      <c r="H33" s="28"/>
      <c r="I33" s="28"/>
      <c r="J33" s="28"/>
      <c r="K33" s="28"/>
      <c r="L33" s="28"/>
      <c r="M33" s="28"/>
      <c r="N33" s="28">
        <v>-4100</v>
      </c>
      <c r="O33" s="28"/>
      <c r="P33" s="26">
        <f>SUM(Table13473[[#This Row],[Valor de la Factura del Cliente]:[Avance]])+P32</f>
        <v>-1226930.74</v>
      </c>
    </row>
    <row r="34" spans="2:16" s="12" customFormat="1" ht="16.5" customHeight="1" x14ac:dyDescent="0.25">
      <c r="B34" s="47">
        <v>45489</v>
      </c>
      <c r="C34" s="27"/>
      <c r="D34" s="27"/>
      <c r="E34" s="27"/>
      <c r="F34" s="27" t="s">
        <v>597</v>
      </c>
      <c r="G34" s="65" t="s">
        <v>642</v>
      </c>
      <c r="H34" s="28"/>
      <c r="I34" s="28"/>
      <c r="J34" s="28"/>
      <c r="K34" s="28"/>
      <c r="L34" s="28"/>
      <c r="M34" s="28"/>
      <c r="N34" s="28">
        <v>-33000</v>
      </c>
      <c r="O34" s="28"/>
      <c r="P34" s="26">
        <f>SUM(Table13473[[#This Row],[Valor de la Factura del Cliente]:[Avance]])+P33</f>
        <v>-1259930.74</v>
      </c>
    </row>
    <row r="35" spans="2:16" s="12" customFormat="1" ht="16.5" customHeight="1" x14ac:dyDescent="0.25">
      <c r="B35" s="47">
        <v>45498</v>
      </c>
      <c r="C35" s="27"/>
      <c r="D35" s="27"/>
      <c r="E35" s="27"/>
      <c r="F35" s="27" t="s">
        <v>587</v>
      </c>
      <c r="G35" s="65" t="s">
        <v>643</v>
      </c>
      <c r="H35" s="28"/>
      <c r="I35" s="28"/>
      <c r="J35" s="28"/>
      <c r="K35" s="28"/>
      <c r="L35" s="28"/>
      <c r="M35" s="28"/>
      <c r="N35" s="28">
        <v>-1215.4000000000001</v>
      </c>
      <c r="O35" s="28"/>
      <c r="P35" s="26">
        <f>SUM(Table13473[[#This Row],[Valor de la Factura del Cliente]:[Avance]])+P34</f>
        <v>-1261146.1399999999</v>
      </c>
    </row>
    <row r="36" spans="2:16" s="12" customFormat="1" ht="16.5" customHeight="1" x14ac:dyDescent="0.25">
      <c r="B36" s="47">
        <v>45498</v>
      </c>
      <c r="C36" s="27"/>
      <c r="D36" s="27"/>
      <c r="E36" s="27"/>
      <c r="F36" s="27" t="s">
        <v>587</v>
      </c>
      <c r="G36" s="65" t="s">
        <v>643</v>
      </c>
      <c r="H36" s="28"/>
      <c r="I36" s="28"/>
      <c r="J36" s="28"/>
      <c r="K36" s="28"/>
      <c r="L36" s="28"/>
      <c r="M36" s="28"/>
      <c r="N36" s="28">
        <v>-1160</v>
      </c>
      <c r="O36" s="28"/>
      <c r="P36" s="26">
        <f>SUM(Table13473[[#This Row],[Valor de la Factura del Cliente]:[Avance]])+P35</f>
        <v>-1262306.1399999999</v>
      </c>
    </row>
    <row r="37" spans="2:16" s="12" customFormat="1" ht="16.5" customHeight="1" x14ac:dyDescent="0.25">
      <c r="B37" s="47">
        <v>45505</v>
      </c>
      <c r="C37" s="27"/>
      <c r="D37" s="27"/>
      <c r="E37" s="27"/>
      <c r="F37" s="27" t="s">
        <v>597</v>
      </c>
      <c r="G37" s="65" t="s">
        <v>644</v>
      </c>
      <c r="H37" s="28"/>
      <c r="I37" s="28"/>
      <c r="J37" s="28"/>
      <c r="K37" s="28"/>
      <c r="L37" s="28"/>
      <c r="M37" s="28"/>
      <c r="N37" s="28">
        <v>-30100</v>
      </c>
      <c r="O37" s="28"/>
      <c r="P37" s="26">
        <f>SUM(Table13473[[#This Row],[Valor de la Factura del Cliente]:[Avance]])+P36</f>
        <v>-1292406.1399999999</v>
      </c>
    </row>
    <row r="38" spans="2:16" s="12" customFormat="1" ht="16.5" customHeight="1" x14ac:dyDescent="0.25">
      <c r="B38" s="47">
        <v>45545</v>
      </c>
      <c r="C38" s="27"/>
      <c r="D38" s="27"/>
      <c r="E38" s="27"/>
      <c r="F38" s="27" t="s">
        <v>598</v>
      </c>
      <c r="G38" s="65" t="s">
        <v>645</v>
      </c>
      <c r="H38" s="28"/>
      <c r="I38" s="28"/>
      <c r="J38" s="28"/>
      <c r="K38" s="28"/>
      <c r="L38" s="28"/>
      <c r="M38" s="28"/>
      <c r="N38" s="28">
        <v>-73140.899999999994</v>
      </c>
      <c r="O38" s="28"/>
      <c r="P38" s="26">
        <f>SUM(Table13473[[#This Row],[Valor de la Factura del Cliente]:[Avance]])+P37</f>
        <v>-1365547.0399999998</v>
      </c>
    </row>
    <row r="39" spans="2:16" s="12" customFormat="1" ht="16.5" customHeight="1" x14ac:dyDescent="0.25">
      <c r="B39" s="47">
        <v>45582</v>
      </c>
      <c r="C39" s="27"/>
      <c r="D39" s="27"/>
      <c r="E39" s="27"/>
      <c r="F39" s="27" t="s">
        <v>599</v>
      </c>
      <c r="G39" s="65" t="s">
        <v>646</v>
      </c>
      <c r="H39" s="28"/>
      <c r="I39" s="28"/>
      <c r="J39" s="28"/>
      <c r="K39" s="28"/>
      <c r="L39" s="28"/>
      <c r="M39" s="28"/>
      <c r="N39" s="28">
        <v>-1490</v>
      </c>
      <c r="O39" s="28"/>
      <c r="P39" s="26">
        <f>SUM(Table13473[[#This Row],[Valor de la Factura del Cliente]:[Avance]])+P38</f>
        <v>-1367037.0399999998</v>
      </c>
    </row>
    <row r="40" spans="2:16" s="12" customFormat="1" ht="16.5" customHeight="1" x14ac:dyDescent="0.25">
      <c r="B40" s="47">
        <v>45680</v>
      </c>
      <c r="C40" s="27"/>
      <c r="D40" s="27"/>
      <c r="E40" s="27"/>
      <c r="F40" s="27" t="s">
        <v>600</v>
      </c>
      <c r="G40" s="65" t="s">
        <v>647</v>
      </c>
      <c r="H40" s="28"/>
      <c r="I40" s="28"/>
      <c r="J40" s="28"/>
      <c r="K40" s="28"/>
      <c r="L40" s="28"/>
      <c r="M40" s="28"/>
      <c r="N40" s="28">
        <v>-1600</v>
      </c>
      <c r="O40" s="28"/>
      <c r="P40" s="26">
        <f>SUM(Table13473[[#This Row],[Valor de la Factura del Cliente]:[Avance]])+P39</f>
        <v>-1368637.0399999998</v>
      </c>
    </row>
    <row r="41" spans="2:16" s="12" customFormat="1" ht="16.5" customHeight="1" x14ac:dyDescent="0.25">
      <c r="B41" s="47">
        <v>45705</v>
      </c>
      <c r="C41" s="27"/>
      <c r="D41" s="27"/>
      <c r="E41" s="27"/>
      <c r="F41" s="27" t="s">
        <v>600</v>
      </c>
      <c r="G41" s="65" t="s">
        <v>647</v>
      </c>
      <c r="H41" s="28"/>
      <c r="I41" s="28"/>
      <c r="J41" s="28"/>
      <c r="K41" s="28"/>
      <c r="L41" s="28"/>
      <c r="M41" s="28"/>
      <c r="N41" s="28">
        <v>-1600</v>
      </c>
      <c r="O41" s="28"/>
      <c r="P41" s="26">
        <f>SUM(Table13473[[#This Row],[Valor de la Factura del Cliente]:[Avance]])+P40</f>
        <v>-1370237.0399999998</v>
      </c>
    </row>
    <row r="42" spans="2:16" s="12" customFormat="1" ht="16.5" customHeight="1" x14ac:dyDescent="0.25">
      <c r="B42" s="47">
        <v>45738</v>
      </c>
      <c r="C42" s="27"/>
      <c r="D42" s="27"/>
      <c r="E42" s="27"/>
      <c r="F42" s="27" t="s">
        <v>255</v>
      </c>
      <c r="G42" s="65" t="s">
        <v>648</v>
      </c>
      <c r="H42" s="28"/>
      <c r="I42" s="28"/>
      <c r="J42" s="28"/>
      <c r="K42" s="28"/>
      <c r="L42" s="28"/>
      <c r="M42" s="28"/>
      <c r="N42" s="28">
        <v>-7892</v>
      </c>
      <c r="O42" s="28"/>
      <c r="P42" s="26">
        <f>SUM(Table13473[[#This Row],[Valor de la Factura del Cliente]:[Avance]])+P41</f>
        <v>-1378129.0399999998</v>
      </c>
    </row>
    <row r="43" spans="2:16" s="12" customFormat="1" ht="16.5" customHeight="1" x14ac:dyDescent="0.25">
      <c r="B43" s="47">
        <v>45743</v>
      </c>
      <c r="C43" s="27"/>
      <c r="D43" s="27"/>
      <c r="E43" s="27"/>
      <c r="F43" s="27" t="s">
        <v>601</v>
      </c>
      <c r="G43" s="65" t="s">
        <v>601</v>
      </c>
      <c r="H43" s="28"/>
      <c r="I43" s="28"/>
      <c r="J43" s="28"/>
      <c r="K43" s="28"/>
      <c r="L43" s="28"/>
      <c r="M43" s="28"/>
      <c r="N43" s="28">
        <v>-2154.64</v>
      </c>
      <c r="O43" s="28"/>
      <c r="P43" s="26">
        <f>SUM(Table13473[[#This Row],[Valor de la Factura del Cliente]:[Avance]])+P42</f>
        <v>-1380283.6799999997</v>
      </c>
    </row>
    <row r="44" spans="2:16" s="12" customFormat="1" ht="16.5" customHeight="1" x14ac:dyDescent="0.25">
      <c r="B44" s="47">
        <v>45745</v>
      </c>
      <c r="C44" s="27"/>
      <c r="D44" s="27"/>
      <c r="E44" s="27"/>
      <c r="F44" s="27" t="s">
        <v>600</v>
      </c>
      <c r="G44" s="65" t="s">
        <v>647</v>
      </c>
      <c r="H44" s="28"/>
      <c r="I44" s="28"/>
      <c r="J44" s="28"/>
      <c r="K44" s="28"/>
      <c r="L44" s="28"/>
      <c r="M44" s="28"/>
      <c r="N44" s="28">
        <v>-1600</v>
      </c>
      <c r="O44" s="28"/>
      <c r="P44" s="26">
        <f>SUM(Table13473[[#This Row],[Valor de la Factura del Cliente]:[Avance]])+P43</f>
        <v>-1381883.6799999997</v>
      </c>
    </row>
    <row r="45" spans="2:16" s="12" customFormat="1" ht="16.5" customHeight="1" x14ac:dyDescent="0.25">
      <c r="B45" s="47">
        <v>45749</v>
      </c>
      <c r="C45" s="27"/>
      <c r="D45" s="27"/>
      <c r="E45" s="27"/>
      <c r="F45" s="27" t="s">
        <v>602</v>
      </c>
      <c r="G45" s="65" t="s">
        <v>649</v>
      </c>
      <c r="H45" s="28"/>
      <c r="I45" s="28"/>
      <c r="J45" s="28"/>
      <c r="K45" s="28"/>
      <c r="L45" s="28"/>
      <c r="M45" s="28"/>
      <c r="N45" s="28">
        <v>-22000</v>
      </c>
      <c r="O45" s="28"/>
      <c r="P45" s="26">
        <f>SUM(Table13473[[#This Row],[Valor de la Factura del Cliente]:[Avance]])+P44</f>
        <v>-1403883.6799999997</v>
      </c>
    </row>
    <row r="46" spans="2:16" s="12" customFormat="1" ht="16.5" customHeight="1" x14ac:dyDescent="0.25">
      <c r="B46" s="47">
        <v>45758</v>
      </c>
      <c r="C46" s="27"/>
      <c r="D46" s="27"/>
      <c r="E46" s="27"/>
      <c r="F46" s="27" t="s">
        <v>603</v>
      </c>
      <c r="G46" s="65" t="s">
        <v>650</v>
      </c>
      <c r="H46" s="28"/>
      <c r="I46" s="28"/>
      <c r="J46" s="28"/>
      <c r="K46" s="28"/>
      <c r="L46" s="28"/>
      <c r="M46" s="28"/>
      <c r="N46" s="28">
        <v>-27517.784</v>
      </c>
      <c r="O46" s="28"/>
      <c r="P46" s="26">
        <f>SUM(Table13473[[#This Row],[Valor de la Factura del Cliente]:[Avance]])+P45</f>
        <v>-1431401.4639999997</v>
      </c>
    </row>
    <row r="47" spans="2:16" s="12" customFormat="1" ht="16.5" customHeight="1" x14ac:dyDescent="0.25">
      <c r="B47" s="47">
        <v>45758</v>
      </c>
      <c r="C47" s="27"/>
      <c r="D47" s="27"/>
      <c r="E47" s="27"/>
      <c r="F47" s="27" t="s">
        <v>604</v>
      </c>
      <c r="G47" s="65" t="s">
        <v>651</v>
      </c>
      <c r="H47" s="28"/>
      <c r="I47" s="28"/>
      <c r="J47" s="28"/>
      <c r="K47" s="28"/>
      <c r="L47" s="28"/>
      <c r="M47" s="28"/>
      <c r="N47" s="28">
        <v>-4833.2375000000002</v>
      </c>
      <c r="O47" s="28"/>
      <c r="P47" s="26">
        <f>SUM(Table13473[[#This Row],[Valor de la Factura del Cliente]:[Avance]])+P46</f>
        <v>-1436234.7014999997</v>
      </c>
    </row>
    <row r="48" spans="2:16" s="12" customFormat="1" ht="16.5" customHeight="1" x14ac:dyDescent="0.25">
      <c r="B48" s="47">
        <v>45758</v>
      </c>
      <c r="C48" s="27"/>
      <c r="D48" s="27"/>
      <c r="E48" s="27"/>
      <c r="F48" s="27" t="s">
        <v>604</v>
      </c>
      <c r="G48" s="65" t="s">
        <v>651</v>
      </c>
      <c r="H48" s="28"/>
      <c r="I48" s="28"/>
      <c r="J48" s="28"/>
      <c r="K48" s="28"/>
      <c r="L48" s="28"/>
      <c r="M48" s="28"/>
      <c r="N48" s="28">
        <v>-5243.3531999999996</v>
      </c>
      <c r="O48" s="28"/>
      <c r="P48" s="26">
        <f>SUM(Table13473[[#This Row],[Valor de la Factura del Cliente]:[Avance]])+P47</f>
        <v>-1441478.0546999997</v>
      </c>
    </row>
    <row r="49" spans="2:16" s="12" customFormat="1" ht="16.5" customHeight="1" x14ac:dyDescent="0.25">
      <c r="B49" s="47">
        <v>45758</v>
      </c>
      <c r="C49" s="27"/>
      <c r="D49" s="27"/>
      <c r="E49" s="27"/>
      <c r="F49" s="27" t="s">
        <v>604</v>
      </c>
      <c r="G49" s="65" t="s">
        <v>651</v>
      </c>
      <c r="H49" s="28"/>
      <c r="I49" s="28"/>
      <c r="J49" s="28"/>
      <c r="K49" s="28"/>
      <c r="L49" s="28"/>
      <c r="M49" s="28"/>
      <c r="N49" s="28">
        <v>-10628.403200000001</v>
      </c>
      <c r="O49" s="28"/>
      <c r="P49" s="26">
        <f>SUM(Table13473[[#This Row],[Valor de la Factura del Cliente]:[Avance]])+P48</f>
        <v>-1452106.4578999998</v>
      </c>
    </row>
    <row r="50" spans="2:16" s="12" customFormat="1" ht="16.5" customHeight="1" x14ac:dyDescent="0.25">
      <c r="B50" s="47">
        <v>45759</v>
      </c>
      <c r="C50" s="27"/>
      <c r="D50" s="27"/>
      <c r="E50" s="27"/>
      <c r="F50" s="27" t="s">
        <v>604</v>
      </c>
      <c r="G50" s="65" t="s">
        <v>651</v>
      </c>
      <c r="H50" s="28"/>
      <c r="I50" s="28"/>
      <c r="J50" s="28"/>
      <c r="K50" s="28"/>
      <c r="L50" s="28"/>
      <c r="M50" s="28"/>
      <c r="N50" s="28">
        <v>-4512.2875000000004</v>
      </c>
      <c r="O50" s="28"/>
      <c r="P50" s="26">
        <f>SUM(Table13473[[#This Row],[Valor de la Factura del Cliente]:[Avance]])+P49</f>
        <v>-1456618.7453999999</v>
      </c>
    </row>
    <row r="51" spans="2:16" s="12" customFormat="1" ht="16.5" customHeight="1" x14ac:dyDescent="0.25">
      <c r="B51" s="47">
        <v>45760</v>
      </c>
      <c r="C51" s="27"/>
      <c r="D51" s="27"/>
      <c r="E51" s="27"/>
      <c r="F51" s="27" t="s">
        <v>604</v>
      </c>
      <c r="G51" s="65" t="s">
        <v>651</v>
      </c>
      <c r="H51" s="28"/>
      <c r="I51" s="28"/>
      <c r="J51" s="28"/>
      <c r="K51" s="28"/>
      <c r="L51" s="28"/>
      <c r="M51" s="28"/>
      <c r="N51" s="28">
        <v>-2775.1968000000002</v>
      </c>
      <c r="O51" s="28"/>
      <c r="P51" s="26">
        <f>SUM(Table13473[[#This Row],[Valor de la Factura del Cliente]:[Avance]])+P50</f>
        <v>-1459393.9421999999</v>
      </c>
    </row>
    <row r="52" spans="2:16" s="12" customFormat="1" ht="16.5" customHeight="1" x14ac:dyDescent="0.25">
      <c r="B52" s="47">
        <v>45765</v>
      </c>
      <c r="C52" s="27"/>
      <c r="D52" s="27"/>
      <c r="E52" s="27"/>
      <c r="F52" s="27" t="s">
        <v>587</v>
      </c>
      <c r="G52" s="65" t="s">
        <v>652</v>
      </c>
      <c r="H52" s="28"/>
      <c r="I52" s="28"/>
      <c r="J52" s="28"/>
      <c r="K52" s="28"/>
      <c r="L52" s="28"/>
      <c r="M52" s="28"/>
      <c r="N52" s="28">
        <v>-303.99</v>
      </c>
      <c r="O52" s="28"/>
      <c r="P52" s="26">
        <f>SUM(Table13473[[#This Row],[Valor de la Factura del Cliente]:[Avance]])+P51</f>
        <v>-1459697.9321999999</v>
      </c>
    </row>
    <row r="53" spans="2:16" s="12" customFormat="1" ht="16.5" customHeight="1" x14ac:dyDescent="0.25">
      <c r="B53" s="47">
        <v>45772</v>
      </c>
      <c r="C53" s="27"/>
      <c r="D53" s="27"/>
      <c r="E53" s="27"/>
      <c r="F53" s="27" t="s">
        <v>587</v>
      </c>
      <c r="G53" s="65" t="s">
        <v>652</v>
      </c>
      <c r="H53" s="28"/>
      <c r="I53" s="28"/>
      <c r="J53" s="28"/>
      <c r="K53" s="28"/>
      <c r="L53" s="28"/>
      <c r="M53" s="28"/>
      <c r="N53" s="28">
        <v>-268.12</v>
      </c>
      <c r="O53" s="28"/>
      <c r="P53" s="26">
        <f>SUM(Table13473[[#This Row],[Valor de la Factura del Cliente]:[Avance]])+P52</f>
        <v>-1459966.0522</v>
      </c>
    </row>
    <row r="54" spans="2:16" s="12" customFormat="1" ht="16.5" customHeight="1" x14ac:dyDescent="0.25">
      <c r="B54" s="47">
        <v>45772</v>
      </c>
      <c r="C54" s="27"/>
      <c r="D54" s="27"/>
      <c r="E54" s="27"/>
      <c r="F54" s="27" t="s">
        <v>600</v>
      </c>
      <c r="G54" s="65" t="s">
        <v>647</v>
      </c>
      <c r="H54" s="28"/>
      <c r="I54" s="28"/>
      <c r="J54" s="28"/>
      <c r="K54" s="28"/>
      <c r="L54" s="28"/>
      <c r="M54" s="28"/>
      <c r="N54" s="28">
        <v>-1600</v>
      </c>
      <c r="O54" s="28"/>
      <c r="P54" s="26">
        <f>SUM(Table13473[[#This Row],[Valor de la Factura del Cliente]:[Avance]])+P53</f>
        <v>-1461566.0522</v>
      </c>
    </row>
    <row r="55" spans="2:16" s="12" customFormat="1" ht="16.5" customHeight="1" x14ac:dyDescent="0.25">
      <c r="B55" s="47">
        <v>45773</v>
      </c>
      <c r="C55" s="27"/>
      <c r="D55" s="27"/>
      <c r="E55" s="27"/>
      <c r="F55" s="27" t="s">
        <v>605</v>
      </c>
      <c r="G55" s="65" t="s">
        <v>653</v>
      </c>
      <c r="H55" s="28"/>
      <c r="I55" s="28"/>
      <c r="J55" s="28"/>
      <c r="K55" s="28"/>
      <c r="L55" s="28"/>
      <c r="M55" s="28"/>
      <c r="N55" s="28">
        <v>-8650</v>
      </c>
      <c r="O55" s="28"/>
      <c r="P55" s="26">
        <f>SUM(Table13473[[#This Row],[Valor de la Factura del Cliente]:[Avance]])+P54</f>
        <v>-1470216.0522</v>
      </c>
    </row>
    <row r="56" spans="2:16" s="12" customFormat="1" ht="16.5" customHeight="1" x14ac:dyDescent="0.25">
      <c r="B56" s="47">
        <v>45776</v>
      </c>
      <c r="C56" s="27"/>
      <c r="D56" s="27"/>
      <c r="E56" s="27"/>
      <c r="F56" s="27" t="s">
        <v>587</v>
      </c>
      <c r="G56" s="65" t="s">
        <v>652</v>
      </c>
      <c r="H56" s="28"/>
      <c r="I56" s="28"/>
      <c r="J56" s="28"/>
      <c r="K56" s="28"/>
      <c r="L56" s="28"/>
      <c r="M56" s="28"/>
      <c r="N56" s="28">
        <v>-301.89</v>
      </c>
      <c r="O56" s="28"/>
      <c r="P56" s="26">
        <f>SUM(Table13473[[#This Row],[Valor de la Factura del Cliente]:[Avance]])+P55</f>
        <v>-1470517.9421999999</v>
      </c>
    </row>
    <row r="57" spans="2:16" s="12" customFormat="1" ht="16.5" customHeight="1" x14ac:dyDescent="0.25">
      <c r="B57" s="47">
        <v>45776</v>
      </c>
      <c r="C57" s="27"/>
      <c r="D57" s="27"/>
      <c r="E57" s="27"/>
      <c r="F57" s="27" t="s">
        <v>587</v>
      </c>
      <c r="G57" s="65" t="s">
        <v>652</v>
      </c>
      <c r="H57" s="28"/>
      <c r="I57" s="28"/>
      <c r="J57" s="28"/>
      <c r="K57" s="28"/>
      <c r="L57" s="28"/>
      <c r="M57" s="28"/>
      <c r="N57" s="28">
        <v>-281.56</v>
      </c>
      <c r="O57" s="28"/>
      <c r="P57" s="26">
        <f>SUM(Table13473[[#This Row],[Valor de la Factura del Cliente]:[Avance]])+P56</f>
        <v>-1470799.5022</v>
      </c>
    </row>
    <row r="58" spans="2:16" s="12" customFormat="1" ht="16.5" customHeight="1" x14ac:dyDescent="0.25">
      <c r="B58" s="47">
        <v>45778</v>
      </c>
      <c r="C58" s="27"/>
      <c r="D58" s="27"/>
      <c r="E58" s="27"/>
      <c r="F58" s="27" t="s">
        <v>606</v>
      </c>
      <c r="G58" s="65" t="s">
        <v>654</v>
      </c>
      <c r="H58" s="28"/>
      <c r="I58" s="28"/>
      <c r="J58" s="28"/>
      <c r="K58" s="28"/>
      <c r="L58" s="28"/>
      <c r="M58" s="28"/>
      <c r="N58" s="28">
        <v>-12000</v>
      </c>
      <c r="O58" s="28"/>
      <c r="P58" s="26">
        <f>SUM(Table13473[[#This Row],[Valor de la Factura del Cliente]:[Avance]])+P57</f>
        <v>-1482799.5022</v>
      </c>
    </row>
    <row r="59" spans="2:16" ht="16.5" customHeight="1" x14ac:dyDescent="0.45">
      <c r="B59" s="72">
        <v>45778</v>
      </c>
      <c r="C59" s="73"/>
      <c r="D59" s="73"/>
      <c r="E59" s="73"/>
      <c r="F59" s="73" t="s">
        <v>601</v>
      </c>
      <c r="G59" s="73" t="s">
        <v>601</v>
      </c>
      <c r="H59" s="74"/>
      <c r="I59" s="74"/>
      <c r="J59" s="74"/>
      <c r="K59" s="74"/>
      <c r="L59" s="74"/>
      <c r="M59" s="74"/>
      <c r="N59" s="74">
        <v>-2584.29</v>
      </c>
      <c r="O59" s="74"/>
      <c r="P59" s="26">
        <f>SUM(Table13473[[#This Row],[Valor de la Factura del Cliente]:[Avance]])+P58</f>
        <v>-1485383.7922</v>
      </c>
    </row>
    <row r="60" spans="2:16" ht="16.5" customHeight="1" x14ac:dyDescent="0.45">
      <c r="B60" s="72">
        <v>45778</v>
      </c>
      <c r="C60" s="73"/>
      <c r="D60" s="73"/>
      <c r="E60" s="73"/>
      <c r="F60" s="73" t="s">
        <v>587</v>
      </c>
      <c r="G60" s="73" t="s">
        <v>655</v>
      </c>
      <c r="H60" s="74"/>
      <c r="I60" s="74"/>
      <c r="J60" s="74"/>
      <c r="K60" s="74"/>
      <c r="L60" s="74"/>
      <c r="M60" s="74"/>
      <c r="N60" s="74">
        <v>-269.83</v>
      </c>
      <c r="O60" s="74"/>
      <c r="P60" s="26">
        <f>SUM(Table13473[[#This Row],[Valor de la Factura del Cliente]:[Avance]])+P59</f>
        <v>-1485653.6222000001</v>
      </c>
    </row>
    <row r="61" spans="2:16" ht="16.5" customHeight="1" x14ac:dyDescent="0.45">
      <c r="B61" s="72">
        <v>45783</v>
      </c>
      <c r="C61" s="73"/>
      <c r="D61" s="73"/>
      <c r="E61" s="73"/>
      <c r="F61" s="73" t="s">
        <v>607</v>
      </c>
      <c r="G61" s="73" t="s">
        <v>656</v>
      </c>
      <c r="H61" s="74"/>
      <c r="I61" s="74"/>
      <c r="J61" s="74"/>
      <c r="K61" s="74"/>
      <c r="L61" s="74"/>
      <c r="M61" s="74"/>
      <c r="N61" s="74">
        <v>-3000</v>
      </c>
      <c r="O61" s="74"/>
      <c r="P61" s="26">
        <f>SUM(Table13473[[#This Row],[Valor de la Factura del Cliente]:[Avance]])+P60</f>
        <v>-1488653.6222000001</v>
      </c>
    </row>
    <row r="62" spans="2:16" ht="16.5" customHeight="1" x14ac:dyDescent="0.45">
      <c r="B62" s="72">
        <v>45786</v>
      </c>
      <c r="C62" s="73"/>
      <c r="D62" s="73"/>
      <c r="E62" s="73"/>
      <c r="F62" s="73" t="s">
        <v>587</v>
      </c>
      <c r="G62" s="73" t="s">
        <v>652</v>
      </c>
      <c r="H62" s="74"/>
      <c r="I62" s="74"/>
      <c r="J62" s="74"/>
      <c r="K62" s="74"/>
      <c r="L62" s="74"/>
      <c r="M62" s="74"/>
      <c r="N62" s="74">
        <v>-296</v>
      </c>
      <c r="O62" s="74"/>
      <c r="P62" s="26">
        <f>SUM(Table13473[[#This Row],[Valor de la Factura del Cliente]:[Avance]])+P61</f>
        <v>-1488949.6222000001</v>
      </c>
    </row>
    <row r="63" spans="2:16" ht="16.5" customHeight="1" x14ac:dyDescent="0.45">
      <c r="B63" s="72">
        <v>45789</v>
      </c>
      <c r="C63" s="73"/>
      <c r="D63" s="73"/>
      <c r="E63" s="73"/>
      <c r="F63" s="73" t="s">
        <v>587</v>
      </c>
      <c r="G63" s="73" t="s">
        <v>652</v>
      </c>
      <c r="H63" s="74"/>
      <c r="I63" s="74"/>
      <c r="J63" s="74"/>
      <c r="K63" s="74"/>
      <c r="L63" s="74"/>
      <c r="M63" s="74"/>
      <c r="N63" s="74">
        <v>-331</v>
      </c>
      <c r="O63" s="74"/>
      <c r="P63" s="26">
        <f>SUM(Table13473[[#This Row],[Valor de la Factura del Cliente]:[Avance]])+P62</f>
        <v>-1489280.6222000001</v>
      </c>
    </row>
    <row r="64" spans="2:16" ht="16.5" customHeight="1" x14ac:dyDescent="0.45">
      <c r="B64" s="72">
        <v>45791</v>
      </c>
      <c r="C64" s="73"/>
      <c r="D64" s="73"/>
      <c r="E64" s="73"/>
      <c r="F64" s="73" t="s">
        <v>587</v>
      </c>
      <c r="G64" s="73" t="s">
        <v>652</v>
      </c>
      <c r="H64" s="74"/>
      <c r="I64" s="74"/>
      <c r="J64" s="74"/>
      <c r="K64" s="74"/>
      <c r="L64" s="74"/>
      <c r="M64" s="74"/>
      <c r="N64" s="74">
        <v>-271</v>
      </c>
      <c r="O64" s="74"/>
      <c r="P64" s="26">
        <f>SUM(Table13473[[#This Row],[Valor de la Factura del Cliente]:[Avance]])+P63</f>
        <v>-1489551.6222000001</v>
      </c>
    </row>
    <row r="65" spans="2:16" ht="16.5" customHeight="1" x14ac:dyDescent="0.45">
      <c r="B65" s="72">
        <v>45793</v>
      </c>
      <c r="C65" s="73"/>
      <c r="D65" s="73"/>
      <c r="E65" s="73"/>
      <c r="F65" s="73" t="s">
        <v>608</v>
      </c>
      <c r="G65" s="73" t="s">
        <v>601</v>
      </c>
      <c r="H65" s="74"/>
      <c r="I65" s="74"/>
      <c r="J65" s="74"/>
      <c r="K65" s="74"/>
      <c r="L65" s="74"/>
      <c r="M65" s="74"/>
      <c r="N65" s="74">
        <v>-2442.5</v>
      </c>
      <c r="O65" s="74"/>
      <c r="P65" s="26">
        <f>SUM(Table13473[[#This Row],[Valor de la Factura del Cliente]:[Avance]])+P64</f>
        <v>-1491994.1222000001</v>
      </c>
    </row>
    <row r="66" spans="2:16" ht="16.5" customHeight="1" x14ac:dyDescent="0.45">
      <c r="B66" s="72">
        <v>45796</v>
      </c>
      <c r="C66" s="73"/>
      <c r="D66" s="73"/>
      <c r="E66" s="73"/>
      <c r="F66" s="73" t="s">
        <v>587</v>
      </c>
      <c r="G66" s="73" t="s">
        <v>652</v>
      </c>
      <c r="H66" s="74"/>
      <c r="I66" s="74"/>
      <c r="J66" s="74"/>
      <c r="K66" s="74"/>
      <c r="L66" s="74"/>
      <c r="M66" s="74"/>
      <c r="N66" s="74">
        <v>-169.69</v>
      </c>
      <c r="O66" s="74"/>
      <c r="P66" s="26">
        <f>SUM(Table13473[[#This Row],[Valor de la Factura del Cliente]:[Avance]])+P65</f>
        <v>-1492163.8122</v>
      </c>
    </row>
    <row r="67" spans="2:16" ht="16.5" customHeight="1" x14ac:dyDescent="0.45">
      <c r="B67" s="72">
        <v>45797</v>
      </c>
      <c r="C67" s="73"/>
      <c r="D67" s="73"/>
      <c r="E67" s="73"/>
      <c r="F67" s="73" t="s">
        <v>587</v>
      </c>
      <c r="G67" s="73" t="s">
        <v>652</v>
      </c>
      <c r="H67" s="74"/>
      <c r="I67" s="74"/>
      <c r="J67" s="74"/>
      <c r="K67" s="74"/>
      <c r="L67" s="74"/>
      <c r="M67" s="74"/>
      <c r="N67" s="74">
        <v>-209.07</v>
      </c>
      <c r="O67" s="74"/>
      <c r="P67" s="26">
        <f>SUM(Table13473[[#This Row],[Valor de la Factura del Cliente]:[Avance]])+P66</f>
        <v>-1492372.8822000001</v>
      </c>
    </row>
    <row r="68" spans="2:16" ht="16.5" customHeight="1" x14ac:dyDescent="0.45">
      <c r="B68" s="72">
        <v>45797</v>
      </c>
      <c r="C68" s="73"/>
      <c r="D68" s="73"/>
      <c r="E68" s="73"/>
      <c r="F68" s="73" t="s">
        <v>609</v>
      </c>
      <c r="G68" s="73" t="s">
        <v>657</v>
      </c>
      <c r="H68" s="74"/>
      <c r="I68" s="74"/>
      <c r="J68" s="74"/>
      <c r="K68" s="74"/>
      <c r="L68" s="74"/>
      <c r="M68" s="74"/>
      <c r="N68" s="74">
        <v>-10076.879999999999</v>
      </c>
      <c r="O68" s="74"/>
      <c r="P68" s="26">
        <f>SUM(Table13473[[#This Row],[Valor de la Factura del Cliente]:[Avance]])+P67</f>
        <v>-1502449.7622</v>
      </c>
    </row>
    <row r="69" spans="2:16" ht="16.5" customHeight="1" x14ac:dyDescent="0.45">
      <c r="B69" s="72">
        <v>45797</v>
      </c>
      <c r="C69" s="73"/>
      <c r="D69" s="73"/>
      <c r="E69" s="73"/>
      <c r="F69" s="73" t="s">
        <v>587</v>
      </c>
      <c r="G69" s="73" t="s">
        <v>652</v>
      </c>
      <c r="H69" s="74"/>
      <c r="I69" s="74"/>
      <c r="J69" s="74"/>
      <c r="K69" s="74"/>
      <c r="L69" s="74"/>
      <c r="M69" s="74"/>
      <c r="N69" s="74">
        <v>-457.28</v>
      </c>
      <c r="O69" s="74"/>
      <c r="P69" s="26">
        <f>SUM(Table13473[[#This Row],[Valor de la Factura del Cliente]:[Avance]])+P68</f>
        <v>-1502907.0422</v>
      </c>
    </row>
    <row r="70" spans="2:16" ht="16.5" customHeight="1" x14ac:dyDescent="0.45">
      <c r="B70" s="72">
        <v>45797</v>
      </c>
      <c r="C70" s="73"/>
      <c r="D70" s="73"/>
      <c r="E70" s="73"/>
      <c r="F70" s="73" t="s">
        <v>587</v>
      </c>
      <c r="G70" s="73" t="s">
        <v>652</v>
      </c>
      <c r="H70" s="74"/>
      <c r="I70" s="74"/>
      <c r="J70" s="74"/>
      <c r="K70" s="74"/>
      <c r="L70" s="74"/>
      <c r="M70" s="74"/>
      <c r="N70" s="74">
        <v>-299.45999999999998</v>
      </c>
      <c r="O70" s="74"/>
      <c r="P70" s="26">
        <f>SUM(Table13473[[#This Row],[Valor de la Factura del Cliente]:[Avance]])+P69</f>
        <v>-1503206.5022</v>
      </c>
    </row>
    <row r="71" spans="2:16" ht="16.5" customHeight="1" x14ac:dyDescent="0.45">
      <c r="B71" s="72">
        <v>45798</v>
      </c>
      <c r="C71" s="73"/>
      <c r="D71" s="73"/>
      <c r="E71" s="73"/>
      <c r="F71" s="73" t="s">
        <v>587</v>
      </c>
      <c r="G71" s="73" t="s">
        <v>652</v>
      </c>
      <c r="H71" s="74"/>
      <c r="I71" s="74"/>
      <c r="J71" s="74"/>
      <c r="K71" s="74"/>
      <c r="L71" s="74"/>
      <c r="M71" s="74"/>
      <c r="N71" s="74">
        <v>-296.12</v>
      </c>
      <c r="O71" s="74"/>
      <c r="P71" s="26">
        <f>SUM(Table13473[[#This Row],[Valor de la Factura del Cliente]:[Avance]])+P70</f>
        <v>-1503502.6222000001</v>
      </c>
    </row>
    <row r="72" spans="2:16" ht="16.5" customHeight="1" x14ac:dyDescent="0.45">
      <c r="B72" s="72">
        <v>45799</v>
      </c>
      <c r="C72" s="73"/>
      <c r="D72" s="73"/>
      <c r="E72" s="73"/>
      <c r="F72" s="73" t="s">
        <v>587</v>
      </c>
      <c r="G72" s="73" t="s">
        <v>652</v>
      </c>
      <c r="H72" s="74"/>
      <c r="I72" s="74"/>
      <c r="J72" s="74"/>
      <c r="K72" s="74"/>
      <c r="L72" s="74"/>
      <c r="M72" s="74"/>
      <c r="N72" s="74">
        <v>-469.67</v>
      </c>
      <c r="O72" s="74"/>
      <c r="P72" s="26">
        <f>SUM(Table13473[[#This Row],[Valor de la Factura del Cliente]:[Avance]])+P71</f>
        <v>-1503972.2922</v>
      </c>
    </row>
    <row r="73" spans="2:16" ht="16.5" customHeight="1" x14ac:dyDescent="0.45">
      <c r="B73" s="72">
        <v>45807</v>
      </c>
      <c r="C73" s="73"/>
      <c r="D73" s="73"/>
      <c r="E73" s="73"/>
      <c r="F73" s="73" t="s">
        <v>610</v>
      </c>
      <c r="G73" s="73" t="s">
        <v>658</v>
      </c>
      <c r="H73" s="74"/>
      <c r="I73" s="74"/>
      <c r="J73" s="74"/>
      <c r="K73" s="74"/>
      <c r="L73" s="74"/>
      <c r="M73" s="74"/>
      <c r="N73" s="74">
        <v>-4000</v>
      </c>
      <c r="O73" s="74"/>
      <c r="P73" s="26">
        <f>SUM(Table13473[[#This Row],[Valor de la Factura del Cliente]:[Avance]])+P72</f>
        <v>-1507972.2922</v>
      </c>
    </row>
    <row r="74" spans="2:16" ht="16.5" customHeight="1" x14ac:dyDescent="0.45">
      <c r="B74" s="72">
        <v>45810</v>
      </c>
      <c r="C74" s="73"/>
      <c r="D74" s="73"/>
      <c r="E74" s="73"/>
      <c r="F74" s="73" t="s">
        <v>611</v>
      </c>
      <c r="G74" s="73" t="s">
        <v>659</v>
      </c>
      <c r="H74" s="74"/>
      <c r="I74" s="74"/>
      <c r="J74" s="74"/>
      <c r="K74" s="74"/>
      <c r="L74" s="74"/>
      <c r="M74" s="74"/>
      <c r="N74" s="74">
        <v>-8886</v>
      </c>
      <c r="O74" s="74"/>
      <c r="P74" s="26">
        <f>SUM(Table13473[[#This Row],[Valor de la Factura del Cliente]:[Avance]])+P73</f>
        <v>-1516858.2922</v>
      </c>
    </row>
    <row r="75" spans="2:16" ht="16.5" customHeight="1" x14ac:dyDescent="0.45">
      <c r="B75" s="72">
        <v>45810</v>
      </c>
      <c r="C75" s="73"/>
      <c r="D75" s="73"/>
      <c r="E75" s="73"/>
      <c r="F75" s="73" t="s">
        <v>606</v>
      </c>
      <c r="G75" s="73" t="s">
        <v>660</v>
      </c>
      <c r="H75" s="74"/>
      <c r="I75" s="74"/>
      <c r="J75" s="74"/>
      <c r="K75" s="74"/>
      <c r="L75" s="74"/>
      <c r="M75" s="74"/>
      <c r="N75" s="74">
        <v>-14000</v>
      </c>
      <c r="O75" s="74"/>
      <c r="P75" s="26">
        <f>SUM(Table13473[[#This Row],[Valor de la Factura del Cliente]:[Avance]])+P74</f>
        <v>-1530858.2922</v>
      </c>
    </row>
    <row r="76" spans="2:16" ht="16.5" customHeight="1" x14ac:dyDescent="0.45">
      <c r="B76" s="72">
        <v>45810</v>
      </c>
      <c r="C76" s="73"/>
      <c r="D76" s="73"/>
      <c r="E76" s="73"/>
      <c r="F76" s="73" t="s">
        <v>600</v>
      </c>
      <c r="G76" s="73" t="s">
        <v>647</v>
      </c>
      <c r="H76" s="74"/>
      <c r="I76" s="74"/>
      <c r="J76" s="74"/>
      <c r="K76" s="74"/>
      <c r="L76" s="74"/>
      <c r="M76" s="74"/>
      <c r="N76" s="74">
        <v>-1600</v>
      </c>
      <c r="O76" s="74"/>
      <c r="P76" s="26">
        <f>SUM(Table13473[[#This Row],[Valor de la Factura del Cliente]:[Avance]])+P75</f>
        <v>-1532458.2922</v>
      </c>
    </row>
    <row r="77" spans="2:16" ht="16.5" customHeight="1" x14ac:dyDescent="0.45">
      <c r="B77" s="72">
        <v>45811</v>
      </c>
      <c r="C77" s="73"/>
      <c r="D77" s="73"/>
      <c r="E77" s="73"/>
      <c r="F77" s="73" t="s">
        <v>612</v>
      </c>
      <c r="G77" s="73" t="s">
        <v>661</v>
      </c>
      <c r="H77" s="74"/>
      <c r="I77" s="74"/>
      <c r="J77" s="74"/>
      <c r="K77" s="74"/>
      <c r="L77" s="74"/>
      <c r="M77" s="74"/>
      <c r="N77" s="74">
        <v>-3000</v>
      </c>
      <c r="O77" s="74"/>
      <c r="P77" s="26">
        <f>SUM(Table13473[[#This Row],[Valor de la Factura del Cliente]:[Avance]])+P76</f>
        <v>-1535458.2922</v>
      </c>
    </row>
    <row r="78" spans="2:16" ht="16.5" customHeight="1" x14ac:dyDescent="0.45">
      <c r="B78" s="72">
        <v>45811</v>
      </c>
      <c r="C78" s="73"/>
      <c r="D78" s="73"/>
      <c r="E78" s="73"/>
      <c r="F78" s="73" t="s">
        <v>613</v>
      </c>
      <c r="G78" s="73" t="s">
        <v>662</v>
      </c>
      <c r="H78" s="74"/>
      <c r="I78" s="74"/>
      <c r="J78" s="74"/>
      <c r="K78" s="74"/>
      <c r="L78" s="74"/>
      <c r="M78" s="74"/>
      <c r="N78" s="74">
        <v>-4553.3999999999996</v>
      </c>
      <c r="O78" s="74"/>
      <c r="P78" s="26">
        <f>SUM(Table13473[[#This Row],[Valor de la Factura del Cliente]:[Avance]])+P77</f>
        <v>-1540011.6921999999</v>
      </c>
    </row>
    <row r="79" spans="2:16" ht="16.5" customHeight="1" x14ac:dyDescent="0.45">
      <c r="B79" s="72">
        <v>45811</v>
      </c>
      <c r="C79" s="73"/>
      <c r="D79" s="73"/>
      <c r="E79" s="73"/>
      <c r="F79" s="73" t="s">
        <v>610</v>
      </c>
      <c r="G79" s="73" t="s">
        <v>663</v>
      </c>
      <c r="H79" s="74"/>
      <c r="I79" s="74"/>
      <c r="J79" s="74"/>
      <c r="K79" s="74"/>
      <c r="L79" s="74"/>
      <c r="M79" s="74"/>
      <c r="N79" s="74">
        <v>-5450</v>
      </c>
      <c r="O79" s="74"/>
      <c r="P79" s="26">
        <f>SUM(Table13473[[#This Row],[Valor de la Factura del Cliente]:[Avance]])+P78</f>
        <v>-1545461.6921999999</v>
      </c>
    </row>
    <row r="80" spans="2:16" ht="16.5" customHeight="1" x14ac:dyDescent="0.45">
      <c r="B80" s="72">
        <v>45817</v>
      </c>
      <c r="C80" s="73"/>
      <c r="D80" s="73"/>
      <c r="E80" s="73"/>
      <c r="F80" s="73" t="s">
        <v>607</v>
      </c>
      <c r="G80" s="73" t="s">
        <v>656</v>
      </c>
      <c r="H80" s="74"/>
      <c r="I80" s="74"/>
      <c r="J80" s="74"/>
      <c r="K80" s="74"/>
      <c r="L80" s="74"/>
      <c r="M80" s="74"/>
      <c r="N80" s="74">
        <v>-3500</v>
      </c>
      <c r="O80" s="74"/>
      <c r="P80" s="26">
        <f>SUM(Table13473[[#This Row],[Valor de la Factura del Cliente]:[Avance]])+P79</f>
        <v>-1548961.6921999999</v>
      </c>
    </row>
    <row r="81" spans="2:16" ht="16.5" customHeight="1" x14ac:dyDescent="0.45">
      <c r="B81" s="72">
        <v>45817</v>
      </c>
      <c r="C81" s="73"/>
      <c r="D81" s="73"/>
      <c r="E81" s="73"/>
      <c r="F81" s="73" t="s">
        <v>587</v>
      </c>
      <c r="G81" s="73" t="s">
        <v>664</v>
      </c>
      <c r="H81" s="74"/>
      <c r="I81" s="74"/>
      <c r="J81" s="74"/>
      <c r="K81" s="74"/>
      <c r="L81" s="74"/>
      <c r="M81" s="74"/>
      <c r="N81" s="74">
        <v>-425.83</v>
      </c>
      <c r="O81" s="74"/>
      <c r="P81" s="26">
        <f>SUM(Table13473[[#This Row],[Valor de la Factura del Cliente]:[Avance]])+P80</f>
        <v>-1549387.5222</v>
      </c>
    </row>
    <row r="82" spans="2:16" ht="16.5" customHeight="1" x14ac:dyDescent="0.45">
      <c r="B82" s="72">
        <v>45817</v>
      </c>
      <c r="C82" s="73"/>
      <c r="D82" s="73"/>
      <c r="E82" s="73"/>
      <c r="F82" s="73" t="s">
        <v>587</v>
      </c>
      <c r="G82" s="73" t="s">
        <v>664</v>
      </c>
      <c r="H82" s="74"/>
      <c r="I82" s="74"/>
      <c r="J82" s="74"/>
      <c r="K82" s="74"/>
      <c r="L82" s="74"/>
      <c r="M82" s="74"/>
      <c r="N82" s="74">
        <v>-393.43</v>
      </c>
      <c r="O82" s="74"/>
      <c r="P82" s="26">
        <f>SUM(Table13473[[#This Row],[Valor de la Factura del Cliente]:[Avance]])+P81</f>
        <v>-1549780.9521999999</v>
      </c>
    </row>
    <row r="83" spans="2:16" ht="16.5" customHeight="1" x14ac:dyDescent="0.45">
      <c r="B83" s="72">
        <v>45823</v>
      </c>
      <c r="C83" s="73"/>
      <c r="D83" s="73"/>
      <c r="E83" s="73"/>
      <c r="F83" s="73" t="s">
        <v>601</v>
      </c>
      <c r="G83" s="73" t="s">
        <v>601</v>
      </c>
      <c r="H83" s="74"/>
      <c r="I83" s="74"/>
      <c r="J83" s="74"/>
      <c r="K83" s="74"/>
      <c r="L83" s="74"/>
      <c r="M83" s="74"/>
      <c r="N83" s="74">
        <v>-2687.41</v>
      </c>
      <c r="O83" s="74"/>
      <c r="P83" s="26">
        <f>SUM(Table13473[[#This Row],[Valor de la Factura del Cliente]:[Avance]])+P82</f>
        <v>-1552468.3621999999</v>
      </c>
    </row>
    <row r="84" spans="2:16" ht="16.5" customHeight="1" x14ac:dyDescent="0.45">
      <c r="B84" s="72">
        <v>45828</v>
      </c>
      <c r="C84" s="73"/>
      <c r="D84" s="73"/>
      <c r="E84" s="73"/>
      <c r="F84" s="73" t="s">
        <v>614</v>
      </c>
      <c r="G84" s="73" t="s">
        <v>665</v>
      </c>
      <c r="H84" s="74"/>
      <c r="I84" s="74"/>
      <c r="J84" s="74"/>
      <c r="K84" s="74"/>
      <c r="L84" s="74"/>
      <c r="M84" s="74"/>
      <c r="N84" s="74">
        <v>-3824.4</v>
      </c>
      <c r="O84" s="74"/>
      <c r="P84" s="26">
        <f>SUM(Table13473[[#This Row],[Valor de la Factura del Cliente]:[Avance]])+P83</f>
        <v>-1556292.7621999998</v>
      </c>
    </row>
    <row r="85" spans="2:16" ht="16.5" customHeight="1" x14ac:dyDescent="0.45">
      <c r="B85" s="72">
        <v>45839</v>
      </c>
      <c r="C85" s="73"/>
      <c r="D85" s="73"/>
      <c r="E85" s="73"/>
      <c r="F85" s="73" t="s">
        <v>600</v>
      </c>
      <c r="G85" s="73" t="s">
        <v>647</v>
      </c>
      <c r="H85" s="74"/>
      <c r="I85" s="74"/>
      <c r="J85" s="74"/>
      <c r="K85" s="74"/>
      <c r="L85" s="74"/>
      <c r="M85" s="74"/>
      <c r="N85" s="74">
        <v>-1600</v>
      </c>
      <c r="O85" s="74"/>
      <c r="P85" s="26">
        <f>SUM(Table13473[[#This Row],[Valor de la Factura del Cliente]:[Avance]])+P84</f>
        <v>-1557892.7621999998</v>
      </c>
    </row>
    <row r="86" spans="2:16" ht="16.5" customHeight="1" x14ac:dyDescent="0.45">
      <c r="B86" s="72">
        <v>45840</v>
      </c>
      <c r="C86" s="73"/>
      <c r="D86" s="73"/>
      <c r="E86" s="73"/>
      <c r="F86" s="73" t="s">
        <v>606</v>
      </c>
      <c r="G86" s="73" t="s">
        <v>666</v>
      </c>
      <c r="H86" s="74"/>
      <c r="I86" s="74"/>
      <c r="J86" s="74"/>
      <c r="K86" s="74"/>
      <c r="L86" s="74"/>
      <c r="M86" s="74"/>
      <c r="N86" s="74">
        <v>-12000</v>
      </c>
      <c r="O86" s="74"/>
      <c r="P86" s="26">
        <f>SUM(Table13473[[#This Row],[Valor de la Factura del Cliente]:[Avance]])+P85</f>
        <v>-1569892.7621999998</v>
      </c>
    </row>
    <row r="87" spans="2:16" ht="16.5" customHeight="1" x14ac:dyDescent="0.45">
      <c r="B87" s="72">
        <v>45843</v>
      </c>
      <c r="C87" s="73"/>
      <c r="D87" s="73"/>
      <c r="E87" s="73"/>
      <c r="F87" s="73" t="s">
        <v>609</v>
      </c>
      <c r="G87" s="73" t="s">
        <v>667</v>
      </c>
      <c r="H87" s="74"/>
      <c r="I87" s="74"/>
      <c r="J87" s="74"/>
      <c r="K87" s="74"/>
      <c r="L87" s="74"/>
      <c r="M87" s="74"/>
      <c r="N87" s="74">
        <v>-6925</v>
      </c>
      <c r="O87" s="74"/>
      <c r="P87" s="26">
        <f>SUM(Table13473[[#This Row],[Valor de la Factura del Cliente]:[Avance]])+P86</f>
        <v>-1576817.7621999998</v>
      </c>
    </row>
    <row r="88" spans="2:16" ht="16.5" customHeight="1" x14ac:dyDescent="0.45">
      <c r="B88" s="72">
        <v>45843</v>
      </c>
      <c r="C88" s="73"/>
      <c r="D88" s="73"/>
      <c r="E88" s="73"/>
      <c r="F88" s="73" t="s">
        <v>615</v>
      </c>
      <c r="G88" s="73" t="s">
        <v>667</v>
      </c>
      <c r="H88" s="74"/>
      <c r="I88" s="74"/>
      <c r="J88" s="74"/>
      <c r="K88" s="74"/>
      <c r="L88" s="74"/>
      <c r="M88" s="74"/>
      <c r="N88" s="74">
        <v>-1814.1</v>
      </c>
      <c r="O88" s="74"/>
      <c r="P88" s="26">
        <f>SUM(Table13473[[#This Row],[Valor de la Factura del Cliente]:[Avance]])+P87</f>
        <v>-1578631.8621999999</v>
      </c>
    </row>
    <row r="89" spans="2:16" ht="16.5" customHeight="1" x14ac:dyDescent="0.45">
      <c r="B89" s="72">
        <v>45863</v>
      </c>
      <c r="C89" s="73"/>
      <c r="D89" s="73"/>
      <c r="E89" s="73"/>
      <c r="F89" s="73" t="s">
        <v>601</v>
      </c>
      <c r="G89" s="73" t="s">
        <v>601</v>
      </c>
      <c r="H89" s="74"/>
      <c r="I89" s="74"/>
      <c r="J89" s="74"/>
      <c r="K89" s="74"/>
      <c r="L89" s="74"/>
      <c r="M89" s="74"/>
      <c r="N89" s="74">
        <v>-3293.24</v>
      </c>
      <c r="O89" s="74"/>
      <c r="P89" s="26">
        <f>SUM(Table13473[[#This Row],[Valor de la Factura del Cliente]:[Avance]])+P88</f>
        <v>-1581925.1021999998</v>
      </c>
    </row>
    <row r="90" spans="2:16" ht="16.5" customHeight="1" x14ac:dyDescent="0.45">
      <c r="B90" s="72">
        <v>45868</v>
      </c>
      <c r="C90" s="73"/>
      <c r="D90" s="73"/>
      <c r="E90" s="73"/>
      <c r="F90" s="73" t="s">
        <v>600</v>
      </c>
      <c r="G90" s="73" t="s">
        <v>647</v>
      </c>
      <c r="H90" s="74"/>
      <c r="I90" s="74"/>
      <c r="J90" s="74"/>
      <c r="K90" s="74"/>
      <c r="L90" s="74"/>
      <c r="M90" s="74"/>
      <c r="N90" s="74">
        <v>-1600</v>
      </c>
      <c r="O90" s="74"/>
      <c r="P90" s="26">
        <f>SUM(Table13473[[#This Row],[Valor de la Factura del Cliente]:[Avance]])+P89</f>
        <v>-1583525.1021999998</v>
      </c>
    </row>
    <row r="91" spans="2:16" ht="16.5" customHeight="1" x14ac:dyDescent="0.45">
      <c r="B91" s="72">
        <v>45877</v>
      </c>
      <c r="C91" s="73"/>
      <c r="D91" s="73"/>
      <c r="E91" s="73"/>
      <c r="F91" s="73" t="s">
        <v>606</v>
      </c>
      <c r="G91" s="73" t="s">
        <v>668</v>
      </c>
      <c r="H91" s="74"/>
      <c r="I91" s="74"/>
      <c r="J91" s="74"/>
      <c r="K91" s="74"/>
      <c r="L91" s="74"/>
      <c r="M91" s="74"/>
      <c r="N91" s="74">
        <v>-15000</v>
      </c>
      <c r="O91" s="74"/>
      <c r="P91" s="26">
        <f>SUM(Table13473[[#This Row],[Valor de la Factura del Cliente]:[Avance]])+P90</f>
        <v>-1598525.1021999998</v>
      </c>
    </row>
    <row r="92" spans="2:16" ht="16.5" customHeight="1" x14ac:dyDescent="0.45">
      <c r="B92" s="72">
        <v>45874</v>
      </c>
      <c r="C92" s="73"/>
      <c r="D92" s="73"/>
      <c r="E92" s="73"/>
      <c r="F92" s="73" t="s">
        <v>616</v>
      </c>
      <c r="G92" s="73" t="s">
        <v>669</v>
      </c>
      <c r="H92" s="74">
        <v>805103.56</v>
      </c>
      <c r="I92" s="74"/>
      <c r="J92" s="74"/>
      <c r="K92" s="74"/>
      <c r="L92" s="74"/>
      <c r="M92" s="74"/>
      <c r="N92" s="74">
        <v>0</v>
      </c>
      <c r="O92" s="74"/>
      <c r="P92" s="26">
        <f>SUM(Table13473[[#This Row],[Valor de la Factura del Cliente]:[Avance]])+P91</f>
        <v>-793421.54219999979</v>
      </c>
    </row>
    <row r="93" spans="2:16" ht="16.5" customHeight="1" x14ac:dyDescent="0.45">
      <c r="B93" s="72">
        <v>45883</v>
      </c>
      <c r="C93" s="73"/>
      <c r="D93" s="73"/>
      <c r="E93" s="73"/>
      <c r="F93" s="73" t="s">
        <v>615</v>
      </c>
      <c r="G93" s="73" t="s">
        <v>667</v>
      </c>
      <c r="H93" s="74"/>
      <c r="I93" s="74"/>
      <c r="J93" s="74"/>
      <c r="K93" s="74"/>
      <c r="L93" s="74"/>
      <c r="M93" s="74"/>
      <c r="N93" s="74">
        <v>-2349.5</v>
      </c>
      <c r="O93" s="74"/>
      <c r="P93" s="26">
        <f>SUM(Table13473[[#This Row],[Valor de la Factura del Cliente]:[Avance]])+P92</f>
        <v>-795771.04219999979</v>
      </c>
    </row>
    <row r="94" spans="2:16" ht="16.5" customHeight="1" x14ac:dyDescent="0.45">
      <c r="B94" s="72">
        <v>45883</v>
      </c>
      <c r="C94" s="73"/>
      <c r="D94" s="73"/>
      <c r="E94" s="73"/>
      <c r="F94" s="73" t="s">
        <v>609</v>
      </c>
      <c r="G94" s="73" t="s">
        <v>667</v>
      </c>
      <c r="H94" s="74"/>
      <c r="I94" s="74"/>
      <c r="J94" s="74"/>
      <c r="K94" s="74"/>
      <c r="L94" s="74"/>
      <c r="M94" s="74"/>
      <c r="N94" s="74">
        <v>-6890</v>
      </c>
      <c r="O94" s="74"/>
      <c r="P94" s="26">
        <f>SUM(Table13473[[#This Row],[Valor de la Factura del Cliente]:[Avance]])+P93</f>
        <v>-802661.04219999979</v>
      </c>
    </row>
    <row r="95" spans="2:16" ht="16.5" customHeight="1" x14ac:dyDescent="0.45">
      <c r="B95" s="72">
        <v>45901</v>
      </c>
      <c r="C95" s="73"/>
      <c r="D95" s="73"/>
      <c r="E95" s="73"/>
      <c r="F95" s="73" t="s">
        <v>617</v>
      </c>
      <c r="G95" s="73" t="s">
        <v>670</v>
      </c>
      <c r="H95" s="74"/>
      <c r="I95" s="74"/>
      <c r="J95" s="74"/>
      <c r="K95" s="74"/>
      <c r="L95" s="74"/>
      <c r="M95" s="74"/>
      <c r="N95" s="74">
        <v>-90400</v>
      </c>
      <c r="O95" s="74"/>
      <c r="P95" s="26">
        <f>SUM(Table13473[[#This Row],[Valor de la Factura del Cliente]:[Avance]])+P94</f>
        <v>-893061.04219999979</v>
      </c>
    </row>
    <row r="96" spans="2:16" ht="16.5" customHeight="1" x14ac:dyDescent="0.45">
      <c r="B96" s="72">
        <v>45902</v>
      </c>
      <c r="C96" s="73"/>
      <c r="D96" s="73"/>
      <c r="E96" s="73"/>
      <c r="F96" s="73" t="s">
        <v>618</v>
      </c>
      <c r="G96" s="73" t="s">
        <v>671</v>
      </c>
      <c r="H96" s="74"/>
      <c r="I96" s="74"/>
      <c r="J96" s="74"/>
      <c r="K96" s="74"/>
      <c r="L96" s="74"/>
      <c r="M96" s="74"/>
      <c r="N96" s="74">
        <v>-960</v>
      </c>
      <c r="O96" s="74"/>
      <c r="P96" s="26">
        <f>SUM(Table13473[[#This Row],[Valor de la Factura del Cliente]:[Avance]])+P95</f>
        <v>-894021.04219999979</v>
      </c>
    </row>
    <row r="97" spans="2:16" ht="16.5" customHeight="1" x14ac:dyDescent="0.45">
      <c r="B97" s="72">
        <v>45902</v>
      </c>
      <c r="C97" s="73"/>
      <c r="D97" s="73"/>
      <c r="E97" s="73"/>
      <c r="F97" s="73" t="s">
        <v>619</v>
      </c>
      <c r="G97" s="73" t="s">
        <v>672</v>
      </c>
      <c r="H97" s="74"/>
      <c r="I97" s="74"/>
      <c r="J97" s="74"/>
      <c r="K97" s="74"/>
      <c r="L97" s="74"/>
      <c r="M97" s="74"/>
      <c r="N97" s="74">
        <v>-524</v>
      </c>
      <c r="O97" s="74"/>
      <c r="P97" s="26">
        <f>SUM(Table13473[[#This Row],[Valor de la Factura del Cliente]:[Avance]])+P96</f>
        <v>-894545.04219999979</v>
      </c>
    </row>
    <row r="98" spans="2:16" ht="16.5" customHeight="1" x14ac:dyDescent="0.45">
      <c r="B98" s="72">
        <v>45902</v>
      </c>
      <c r="C98" s="73"/>
      <c r="D98" s="73"/>
      <c r="E98" s="73"/>
      <c r="F98" s="73" t="s">
        <v>606</v>
      </c>
      <c r="G98" s="73" t="s">
        <v>660</v>
      </c>
      <c r="H98" s="74"/>
      <c r="I98" s="74"/>
      <c r="J98" s="74"/>
      <c r="K98" s="74"/>
      <c r="L98" s="74"/>
      <c r="M98" s="74"/>
      <c r="N98" s="74">
        <v>-14000</v>
      </c>
      <c r="O98" s="74"/>
      <c r="P98" s="26">
        <f>SUM(Table13473[[#This Row],[Valor de la Factura del Cliente]:[Avance]])+P97</f>
        <v>-908545.04219999979</v>
      </c>
    </row>
    <row r="99" spans="2:16" ht="16.5" customHeight="1" x14ac:dyDescent="0.45">
      <c r="B99" s="72">
        <v>45904</v>
      </c>
      <c r="C99" s="73"/>
      <c r="D99" s="73"/>
      <c r="E99" s="73"/>
      <c r="F99" s="73" t="s">
        <v>620</v>
      </c>
      <c r="G99" s="73" t="s">
        <v>673</v>
      </c>
      <c r="H99" s="74"/>
      <c r="I99" s="74"/>
      <c r="J99" s="74"/>
      <c r="K99" s="74"/>
      <c r="L99" s="74"/>
      <c r="M99" s="74"/>
      <c r="N99" s="74">
        <v>-8800</v>
      </c>
      <c r="O99" s="74"/>
      <c r="P99" s="26">
        <f>SUM(Table13473[[#This Row],[Valor de la Factura del Cliente]:[Avance]])+P98</f>
        <v>-917345.04219999979</v>
      </c>
    </row>
    <row r="100" spans="2:16" ht="16.5" customHeight="1" x14ac:dyDescent="0.45">
      <c r="B100" s="72">
        <v>45906</v>
      </c>
      <c r="C100" s="73"/>
      <c r="D100" s="73"/>
      <c r="E100" s="73"/>
      <c r="F100" s="73" t="s">
        <v>609</v>
      </c>
      <c r="G100" s="73" t="s">
        <v>667</v>
      </c>
      <c r="H100" s="74"/>
      <c r="I100" s="74"/>
      <c r="J100" s="74"/>
      <c r="K100" s="74"/>
      <c r="L100" s="74"/>
      <c r="M100" s="74"/>
      <c r="N100" s="74">
        <v>-7806</v>
      </c>
      <c r="O100" s="74"/>
      <c r="P100" s="26">
        <f>SUM(Table13473[[#This Row],[Valor de la Factura del Cliente]:[Avance]])+P99</f>
        <v>-925151.04219999979</v>
      </c>
    </row>
    <row r="101" spans="2:16" ht="16.5" customHeight="1" x14ac:dyDescent="0.45">
      <c r="B101" s="72">
        <v>45912</v>
      </c>
      <c r="C101" s="73"/>
      <c r="D101" s="73"/>
      <c r="E101" s="73"/>
      <c r="F101" s="73" t="s">
        <v>587</v>
      </c>
      <c r="G101" s="73" t="s">
        <v>664</v>
      </c>
      <c r="H101" s="74"/>
      <c r="I101" s="74"/>
      <c r="J101" s="74"/>
      <c r="K101" s="74"/>
      <c r="L101" s="74"/>
      <c r="M101" s="74"/>
      <c r="N101" s="74">
        <v>-195</v>
      </c>
      <c r="O101" s="74"/>
      <c r="P101" s="26">
        <f>SUM(Table13473[[#This Row],[Valor de la Factura del Cliente]:[Avance]])+P100</f>
        <v>-925346.04219999979</v>
      </c>
    </row>
    <row r="102" spans="2:16" ht="16.5" customHeight="1" x14ac:dyDescent="0.45">
      <c r="B102" s="72">
        <v>45912</v>
      </c>
      <c r="C102" s="73"/>
      <c r="D102" s="73"/>
      <c r="E102" s="73"/>
      <c r="F102" s="73" t="s">
        <v>615</v>
      </c>
      <c r="G102" s="73" t="s">
        <v>667</v>
      </c>
      <c r="H102" s="74"/>
      <c r="I102" s="74"/>
      <c r="J102" s="74"/>
      <c r="K102" s="74"/>
      <c r="L102" s="74"/>
      <c r="M102" s="74"/>
      <c r="N102" s="74">
        <v>-540</v>
      </c>
      <c r="O102" s="74"/>
      <c r="P102" s="26">
        <f>SUM(Table13473[[#This Row],[Valor de la Factura del Cliente]:[Avance]])+P101</f>
        <v>-925886.04219999979</v>
      </c>
    </row>
    <row r="103" spans="2:16" ht="16.5" customHeight="1" x14ac:dyDescent="0.45">
      <c r="B103" s="72">
        <v>45912</v>
      </c>
      <c r="C103" s="73"/>
      <c r="D103" s="73"/>
      <c r="E103" s="73"/>
      <c r="F103" s="73" t="s">
        <v>615</v>
      </c>
      <c r="G103" s="73" t="s">
        <v>667</v>
      </c>
      <c r="H103" s="74"/>
      <c r="I103" s="74"/>
      <c r="J103" s="74"/>
      <c r="K103" s="74"/>
      <c r="L103" s="74"/>
      <c r="M103" s="74"/>
      <c r="N103" s="74">
        <v>-1903.9</v>
      </c>
      <c r="O103" s="74"/>
      <c r="P103" s="26">
        <f>SUM(Table13473[[#This Row],[Valor de la Factura del Cliente]:[Avance]])+P102</f>
        <v>-927789.94219999982</v>
      </c>
    </row>
    <row r="104" spans="2:16" ht="16.5" customHeight="1" x14ac:dyDescent="0.45">
      <c r="B104" s="72">
        <v>45913</v>
      </c>
      <c r="C104" s="73"/>
      <c r="D104" s="73"/>
      <c r="E104" s="73"/>
      <c r="F104" s="73" t="s">
        <v>621</v>
      </c>
      <c r="G104" s="73" t="s">
        <v>674</v>
      </c>
      <c r="H104" s="74"/>
      <c r="I104" s="74"/>
      <c r="J104" s="74"/>
      <c r="K104" s="74"/>
      <c r="L104" s="74"/>
      <c r="M104" s="74"/>
      <c r="N104" s="74">
        <v>-61580</v>
      </c>
      <c r="O104" s="74"/>
      <c r="P104" s="26">
        <f>SUM(Table13473[[#This Row],[Valor de la Factura del Cliente]:[Avance]])+P103</f>
        <v>-989369.94219999982</v>
      </c>
    </row>
    <row r="105" spans="2:16" ht="16.5" customHeight="1" x14ac:dyDescent="0.45">
      <c r="B105" s="72">
        <v>45916</v>
      </c>
      <c r="C105" s="73"/>
      <c r="D105" s="73"/>
      <c r="E105" s="73"/>
      <c r="F105" s="73" t="s">
        <v>622</v>
      </c>
      <c r="G105" s="73" t="s">
        <v>675</v>
      </c>
      <c r="H105" s="74"/>
      <c r="I105" s="74"/>
      <c r="J105" s="74"/>
      <c r="K105" s="74"/>
      <c r="L105" s="74"/>
      <c r="M105" s="74"/>
      <c r="N105" s="74">
        <v>-37200</v>
      </c>
      <c r="O105" s="74"/>
      <c r="P105" s="26">
        <f>SUM(Table13473[[#This Row],[Valor de la Factura del Cliente]:[Avance]])+P104</f>
        <v>-1026569.9421999998</v>
      </c>
    </row>
    <row r="106" spans="2:16" ht="16.5" customHeight="1" x14ac:dyDescent="0.45">
      <c r="B106" s="72">
        <v>45922</v>
      </c>
      <c r="C106" s="73"/>
      <c r="D106" s="73"/>
      <c r="E106" s="73"/>
      <c r="F106" s="73" t="s">
        <v>587</v>
      </c>
      <c r="G106" s="73" t="s">
        <v>664</v>
      </c>
      <c r="H106" s="74"/>
      <c r="I106" s="74"/>
      <c r="J106" s="74"/>
      <c r="K106" s="74"/>
      <c r="L106" s="74"/>
      <c r="M106" s="74"/>
      <c r="N106" s="74">
        <v>-280.20999999999998</v>
      </c>
      <c r="O106" s="74"/>
      <c r="P106" s="26">
        <f>SUM(Table13473[[#This Row],[Valor de la Factura del Cliente]:[Avance]])+P105</f>
        <v>-1026850.1521999998</v>
      </c>
    </row>
    <row r="107" spans="2:16" ht="16.5" customHeight="1" x14ac:dyDescent="0.45">
      <c r="B107" s="72">
        <v>45925</v>
      </c>
      <c r="C107" s="73"/>
      <c r="D107" s="73"/>
      <c r="E107" s="73"/>
      <c r="F107" s="73" t="s">
        <v>601</v>
      </c>
      <c r="G107" s="73" t="s">
        <v>601</v>
      </c>
      <c r="H107" s="74"/>
      <c r="I107" s="74"/>
      <c r="J107" s="74"/>
      <c r="K107" s="74"/>
      <c r="L107" s="74"/>
      <c r="M107" s="74"/>
      <c r="N107" s="74">
        <v>-3641.27</v>
      </c>
      <c r="O107" s="74"/>
      <c r="P107" s="26">
        <f>SUM(Table13473[[#This Row],[Valor de la Factura del Cliente]:[Avance]])+P106</f>
        <v>-1030491.4221999998</v>
      </c>
    </row>
    <row r="108" spans="2:16" ht="16.5" customHeight="1" x14ac:dyDescent="0.45">
      <c r="B108" s="72">
        <v>45928</v>
      </c>
      <c r="C108" s="73"/>
      <c r="D108" s="73"/>
      <c r="E108" s="73"/>
      <c r="F108" s="73" t="s">
        <v>615</v>
      </c>
      <c r="G108" s="73" t="s">
        <v>667</v>
      </c>
      <c r="H108" s="74"/>
      <c r="I108" s="74"/>
      <c r="J108" s="74"/>
      <c r="K108" s="74"/>
      <c r="L108" s="74"/>
      <c r="M108" s="74"/>
      <c r="N108" s="74">
        <v>-11344.82</v>
      </c>
      <c r="O108" s="74"/>
      <c r="P108" s="26">
        <f>SUM(Table13473[[#This Row],[Valor de la Factura del Cliente]:[Avance]])+P107</f>
        <v>-1041836.2421999997</v>
      </c>
    </row>
    <row r="109" spans="2:16" ht="16.5" customHeight="1" x14ac:dyDescent="0.45">
      <c r="B109" s="72">
        <v>45931</v>
      </c>
      <c r="C109" s="73"/>
      <c r="D109" s="73"/>
      <c r="E109" s="73"/>
      <c r="F109" s="73" t="s">
        <v>623</v>
      </c>
      <c r="G109" s="73" t="s">
        <v>676</v>
      </c>
      <c r="H109" s="74"/>
      <c r="I109" s="74"/>
      <c r="J109" s="74"/>
      <c r="K109" s="74"/>
      <c r="L109" s="74"/>
      <c r="M109" s="74"/>
      <c r="N109" s="74">
        <v>-60900</v>
      </c>
      <c r="O109" s="74"/>
      <c r="P109" s="26">
        <f>SUM(Table13473[[#This Row],[Valor de la Factura del Cliente]:[Avance]])+P108</f>
        <v>-1102736.2421999997</v>
      </c>
    </row>
    <row r="110" spans="2:16" ht="16.5" customHeight="1" x14ac:dyDescent="0.45">
      <c r="B110" s="72">
        <v>45945</v>
      </c>
      <c r="C110" s="73"/>
      <c r="D110" s="73"/>
      <c r="E110" s="73"/>
      <c r="F110" s="73" t="s">
        <v>608</v>
      </c>
      <c r="G110" s="73" t="s">
        <v>601</v>
      </c>
      <c r="H110" s="74"/>
      <c r="I110" s="74"/>
      <c r="J110" s="74"/>
      <c r="K110" s="74"/>
      <c r="L110" s="74"/>
      <c r="M110" s="74"/>
      <c r="N110" s="74">
        <v>-3744.39</v>
      </c>
      <c r="O110" s="74"/>
      <c r="P110" s="26">
        <f>SUM(Table13473[[#This Row],[Valor de la Factura del Cliente]:[Avance]])+P109</f>
        <v>-1106480.6321999996</v>
      </c>
    </row>
    <row r="111" spans="2:16" ht="16.5" customHeight="1" x14ac:dyDescent="0.45">
      <c r="B111" s="72"/>
      <c r="C111" s="73"/>
      <c r="D111" s="73"/>
      <c r="E111" s="73"/>
      <c r="F111" s="73"/>
      <c r="G111" s="73"/>
      <c r="H111" s="74"/>
      <c r="I111" s="74"/>
      <c r="J111" s="74"/>
      <c r="K111" s="74"/>
      <c r="L111" s="74"/>
      <c r="M111" s="74"/>
      <c r="N111" s="74">
        <v>0</v>
      </c>
      <c r="O111" s="74"/>
      <c r="P111" s="26">
        <f>SUM(Table13473[[#This Row],[Valor de la Factura del Cliente]:[Avance]])+P110</f>
        <v>-1106480.6321999996</v>
      </c>
    </row>
    <row r="112" spans="2:16" ht="16.5" customHeight="1" x14ac:dyDescent="0.45">
      <c r="B112" s="72"/>
      <c r="C112" s="73"/>
      <c r="D112" s="73"/>
      <c r="E112" s="73"/>
      <c r="F112" s="73"/>
      <c r="G112" s="73"/>
      <c r="H112" s="74"/>
      <c r="I112" s="74"/>
      <c r="J112" s="74"/>
      <c r="K112" s="74"/>
      <c r="L112" s="74"/>
      <c r="M112" s="74"/>
      <c r="N112" s="74">
        <v>0</v>
      </c>
      <c r="O112" s="74"/>
      <c r="P112" s="26">
        <f>SUM(Table13473[[#This Row],[Valor de la Factura del Cliente]:[Avance]])+P111</f>
        <v>-1106480.6321999996</v>
      </c>
    </row>
    <row r="113" spans="2:16" ht="16.5" customHeight="1" x14ac:dyDescent="0.45">
      <c r="B113" s="72"/>
      <c r="C113" s="73"/>
      <c r="D113" s="73"/>
      <c r="E113" s="73"/>
      <c r="F113" s="73"/>
      <c r="G113" s="73"/>
      <c r="H113" s="74"/>
      <c r="I113" s="74"/>
      <c r="J113" s="74"/>
      <c r="K113" s="74"/>
      <c r="L113" s="74"/>
      <c r="M113" s="74"/>
      <c r="N113" s="74">
        <v>0</v>
      </c>
      <c r="O113" s="74"/>
      <c r="P113" s="26">
        <f>SUM(Table13473[[#This Row],[Valor de la Factura del Cliente]:[Avance]])+P112</f>
        <v>-1106480.6321999996</v>
      </c>
    </row>
    <row r="114" spans="2:16" ht="16.5" customHeight="1" x14ac:dyDescent="0.45">
      <c r="B114" s="72"/>
      <c r="C114" s="73"/>
      <c r="D114" s="73"/>
      <c r="E114" s="73"/>
      <c r="F114" s="73"/>
      <c r="G114" s="73"/>
      <c r="H114" s="74"/>
      <c r="I114" s="74"/>
      <c r="J114" s="74"/>
      <c r="K114" s="74"/>
      <c r="L114" s="74"/>
      <c r="M114" s="74"/>
      <c r="N114" s="74">
        <v>0</v>
      </c>
      <c r="O114" s="74"/>
      <c r="P114" s="26">
        <f>SUM(Table13473[[#This Row],[Valor de la Factura del Cliente]:[Avance]])+P113</f>
        <v>-1106480.6321999996</v>
      </c>
    </row>
    <row r="115" spans="2:16" ht="16.5" customHeight="1" x14ac:dyDescent="0.45">
      <c r="B115" s="72"/>
      <c r="C115" s="73"/>
      <c r="D115" s="73"/>
      <c r="E115" s="73"/>
      <c r="F115" s="73"/>
      <c r="G115" s="73"/>
      <c r="H115" s="74"/>
      <c r="I115" s="74"/>
      <c r="J115" s="74"/>
      <c r="K115" s="74"/>
      <c r="L115" s="74"/>
      <c r="M115" s="74"/>
      <c r="N115" s="74">
        <v>0</v>
      </c>
      <c r="O115" s="74"/>
      <c r="P115" s="26">
        <f>SUM(Table13473[[#This Row],[Valor de la Factura del Cliente]:[Avance]])+P114</f>
        <v>-1106480.6321999996</v>
      </c>
    </row>
    <row r="116" spans="2:16" ht="16.5" customHeight="1" x14ac:dyDescent="0.45">
      <c r="B116" s="72"/>
      <c r="C116" s="73"/>
      <c r="D116" s="73"/>
      <c r="E116" s="73"/>
      <c r="F116" s="73"/>
      <c r="G116" s="73"/>
      <c r="H116" s="74"/>
      <c r="I116" s="74"/>
      <c r="J116" s="74"/>
      <c r="K116" s="74"/>
      <c r="L116" s="74"/>
      <c r="M116" s="74"/>
      <c r="N116" s="74">
        <v>0</v>
      </c>
      <c r="O116" s="74"/>
      <c r="P116" s="26">
        <f>SUM(Table13473[[#This Row],[Valor de la Factura del Cliente]:[Avance]])+P115</f>
        <v>-1106480.6321999996</v>
      </c>
    </row>
    <row r="117" spans="2:16" ht="16.5" customHeight="1" x14ac:dyDescent="0.45">
      <c r="B117" s="72"/>
      <c r="C117" s="73"/>
      <c r="D117" s="73"/>
      <c r="E117" s="73"/>
      <c r="F117" s="73"/>
      <c r="G117" s="73"/>
      <c r="H117" s="74"/>
      <c r="I117" s="74"/>
      <c r="J117" s="74"/>
      <c r="K117" s="74"/>
      <c r="L117" s="74"/>
      <c r="M117" s="74"/>
      <c r="N117" s="74">
        <v>0</v>
      </c>
      <c r="O117" s="74"/>
      <c r="P117" s="26">
        <f>SUM(Table13473[[#This Row],[Valor de la Factura del Cliente]:[Avance]])+P116</f>
        <v>-1106480.6321999996</v>
      </c>
    </row>
    <row r="118" spans="2:16" ht="16.5" customHeight="1" x14ac:dyDescent="0.45">
      <c r="B118" s="72"/>
      <c r="C118" s="73"/>
      <c r="D118" s="73"/>
      <c r="E118" s="73"/>
      <c r="F118" s="73"/>
      <c r="G118" s="73"/>
      <c r="H118" s="74"/>
      <c r="I118" s="74"/>
      <c r="J118" s="74"/>
      <c r="K118" s="74"/>
      <c r="L118" s="74"/>
      <c r="M118" s="74"/>
      <c r="N118" s="74">
        <v>0</v>
      </c>
      <c r="O118" s="74"/>
      <c r="P118" s="26">
        <f>SUM(Table13473[[#This Row],[Valor de la Factura del Cliente]:[Avance]])+P117</f>
        <v>-1106480.6321999996</v>
      </c>
    </row>
    <row r="119" spans="2:16" ht="16.5" customHeight="1" x14ac:dyDescent="0.45">
      <c r="B119" s="72">
        <v>45945</v>
      </c>
      <c r="C119" s="73"/>
      <c r="D119" s="73"/>
      <c r="E119" s="73"/>
      <c r="F119" s="73" t="s">
        <v>624</v>
      </c>
      <c r="G119" s="73"/>
      <c r="H119" s="74"/>
      <c r="I119" s="74"/>
      <c r="J119" s="74"/>
      <c r="K119" s="74"/>
      <c r="L119" s="74"/>
      <c r="M119" s="74"/>
      <c r="N119" s="74">
        <v>-10000</v>
      </c>
      <c r="O119" s="74"/>
      <c r="P119" s="26">
        <f>SUM(Table13473[[#This Row],[Valor de la Factura del Cliente]:[Avance]])+P118</f>
        <v>-1116480.6321999996</v>
      </c>
    </row>
    <row r="120" spans="2:16" ht="16.5" customHeight="1" thickBot="1" x14ac:dyDescent="0.5">
      <c r="B120" s="72">
        <v>45945</v>
      </c>
      <c r="C120" s="73"/>
      <c r="D120" s="73"/>
      <c r="E120" s="73"/>
      <c r="F120" s="73" t="s">
        <v>625</v>
      </c>
      <c r="G120" s="73"/>
      <c r="H120" s="74"/>
      <c r="I120" s="74"/>
      <c r="J120" s="74"/>
      <c r="K120" s="74"/>
      <c r="L120" s="74"/>
      <c r="M120" s="74"/>
      <c r="N120" s="74">
        <v>-16000</v>
      </c>
      <c r="O120" s="74"/>
      <c r="P120" s="26">
        <f>SUM(Table13473[[#This Row],[Valor de la Factura del Cliente]:[Avance]])+P119</f>
        <v>-1132480.6321999996</v>
      </c>
    </row>
    <row r="121" spans="2:16" ht="16.5" customHeight="1" thickBot="1" x14ac:dyDescent="0.5">
      <c r="B121" s="22"/>
      <c r="C121" s="23"/>
      <c r="D121" s="23"/>
      <c r="E121" s="23"/>
      <c r="F121" s="23"/>
      <c r="G121" s="34" t="s">
        <v>356</v>
      </c>
      <c r="H121" s="35">
        <f>SUBTOTAL(109,Table13473[Valor de la Factura del Cliente])</f>
        <v>805103.56</v>
      </c>
      <c r="I121" s="35">
        <f>SUBTOTAL(109,Table13473[Cargos Bancarios])</f>
        <v>0</v>
      </c>
      <c r="J121" s="35"/>
      <c r="K121" s="35">
        <f>SUBTOTAL(109,Table13473[20% Comisión])</f>
        <v>0</v>
      </c>
      <c r="L121" s="35">
        <f>SUBTOTAL(109,Table13473[5% Legal])</f>
        <v>0</v>
      </c>
      <c r="M121" s="35">
        <f>SUBTOTAL(109,Table13473[Retención de Impuestos])</f>
        <v>0</v>
      </c>
      <c r="N121" s="35">
        <f>SUBTOTAL(109,Table13473[Pagado por MVPX])</f>
        <v>-1937584.1921999997</v>
      </c>
      <c r="O121" s="35">
        <f>SUBTOTAL(109,Table13473[Avance])</f>
        <v>0</v>
      </c>
      <c r="P121" s="36">
        <f>+P120</f>
        <v>-1132480.6321999996</v>
      </c>
    </row>
  </sheetData>
  <mergeCells count="1">
    <mergeCell ref="B7:P7"/>
  </mergeCells>
  <printOptions horizontalCentered="1"/>
  <pageMargins left="0.25" right="0.25" top="0.75" bottom="0.75" header="0.3" footer="0.3"/>
  <pageSetup scale="48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3AFF-AF2C-4A7D-9D39-3FDE812A5081}">
  <sheetPr>
    <pageSetUpPr fitToPage="1"/>
  </sheetPr>
  <dimension ref="B1:P66"/>
  <sheetViews>
    <sheetView showGridLines="0" view="pageLayout" zoomScale="70" zoomScaleNormal="100" zoomScaleSheetLayoutView="70" zoomScalePageLayoutView="70" workbookViewId="0">
      <selection activeCell="G30" sqref="G30"/>
    </sheetView>
  </sheetViews>
  <sheetFormatPr defaultRowHeight="16.5" customHeight="1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3.85546875" style="8" customWidth="1"/>
    <col min="7" max="7" width="56.7109375" style="8" customWidth="1"/>
    <col min="8" max="8" width="19.7109375" style="8" customWidth="1"/>
    <col min="9" max="10" width="14.42578125" style="8" customWidth="1"/>
    <col min="11" max="11" width="15.140625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6.5" customHeight="1" thickBot="1" x14ac:dyDescent="0.5">
      <c r="H1" s="10"/>
      <c r="I1" s="10"/>
      <c r="J1" s="10"/>
      <c r="K1" s="10"/>
      <c r="L1" s="10"/>
      <c r="M1" s="10"/>
    </row>
    <row r="2" spans="2:16" ht="16.5" customHeight="1" x14ac:dyDescent="0.45">
      <c r="B2" s="13" t="s">
        <v>352</v>
      </c>
      <c r="C2" s="14"/>
      <c r="D2" s="15"/>
      <c r="E2" s="50" t="s">
        <v>19</v>
      </c>
      <c r="F2" s="14"/>
      <c r="G2" s="16"/>
      <c r="H2" s="10"/>
      <c r="I2" s="10"/>
      <c r="J2" s="10"/>
      <c r="K2" s="10"/>
      <c r="L2" s="10"/>
      <c r="M2" s="10"/>
    </row>
    <row r="3" spans="2:16" ht="16.5" customHeight="1" x14ac:dyDescent="0.45">
      <c r="B3" s="17" t="s">
        <v>353</v>
      </c>
      <c r="E3" s="51" t="s">
        <v>20</v>
      </c>
      <c r="G3" s="18"/>
      <c r="H3" s="10"/>
      <c r="I3" s="10"/>
      <c r="J3" s="10"/>
      <c r="K3" s="10"/>
      <c r="L3" s="10"/>
      <c r="M3" s="10"/>
    </row>
    <row r="4" spans="2:16" ht="16.5" customHeight="1" x14ac:dyDescent="0.45">
      <c r="B4" s="17" t="s">
        <v>354</v>
      </c>
      <c r="E4" s="37">
        <f>MIN(Table134723[Fecha])</f>
        <v>44692</v>
      </c>
      <c r="G4" s="18"/>
    </row>
    <row r="5" spans="2:16" ht="16.5" customHeight="1" thickBot="1" x14ac:dyDescent="0.5">
      <c r="B5" s="19" t="s">
        <v>343</v>
      </c>
      <c r="C5" s="20"/>
      <c r="D5" s="20"/>
      <c r="E5" s="38">
        <f>MAX(Table134723[Fecha])</f>
        <v>45930</v>
      </c>
      <c r="F5" s="20"/>
      <c r="G5" s="21"/>
    </row>
    <row r="6" spans="2:16" ht="16.5" customHeight="1" thickBot="1" x14ac:dyDescent="0.5"/>
    <row r="7" spans="2:16" ht="16.5" customHeight="1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582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16.5" customHeight="1" x14ac:dyDescent="0.25">
      <c r="B9" s="46" t="s">
        <v>549</v>
      </c>
      <c r="C9" s="24"/>
      <c r="D9" s="24"/>
      <c r="E9" s="24"/>
      <c r="F9" s="66"/>
      <c r="G9" s="65" t="s">
        <v>580</v>
      </c>
      <c r="H9" s="25">
        <v>0</v>
      </c>
      <c r="I9" s="25"/>
      <c r="J9" s="25">
        <f>-Table134723[[#This Row],[Valor de la Factura del Cliente]]*0.5</f>
        <v>0</v>
      </c>
      <c r="K9" s="25"/>
      <c r="L9" s="25"/>
      <c r="M9" s="25"/>
      <c r="N9" s="25"/>
      <c r="O9" s="25"/>
      <c r="P9" s="26">
        <f>SUM(Table134723[[#This Row],[Valor de la Factura del Cliente]:[Avance]])</f>
        <v>0</v>
      </c>
    </row>
    <row r="10" spans="2:16" s="12" customFormat="1" ht="16.5" customHeight="1" x14ac:dyDescent="0.25">
      <c r="B10" s="47" t="s">
        <v>550</v>
      </c>
      <c r="C10" s="27"/>
      <c r="D10" s="27"/>
      <c r="E10" s="27"/>
      <c r="F10" s="27"/>
      <c r="G10" s="65" t="s">
        <v>580</v>
      </c>
      <c r="H10" s="28">
        <v>112.88501047024512</v>
      </c>
      <c r="I10" s="28"/>
      <c r="J10" s="25">
        <f>-Table134723[[#This Row],[Valor de la Factura del Cliente]]*0.5</f>
        <v>-56.44250523512256</v>
      </c>
      <c r="K10" s="28"/>
      <c r="L10" s="28"/>
      <c r="M10" s="28"/>
      <c r="N10" s="28"/>
      <c r="O10" s="28"/>
      <c r="P10" s="26">
        <f>SUM(Table134723[[#This Row],[Valor de la Factura del Cliente]:[Avance]])+P9</f>
        <v>56.44250523512256</v>
      </c>
    </row>
    <row r="11" spans="2:16" s="12" customFormat="1" ht="16.5" customHeight="1" x14ac:dyDescent="0.25">
      <c r="B11" s="47" t="s">
        <v>551</v>
      </c>
      <c r="C11" s="27"/>
      <c r="D11" s="27"/>
      <c r="E11" s="27"/>
      <c r="F11" s="27"/>
      <c r="G11" s="65" t="s">
        <v>580</v>
      </c>
      <c r="H11" s="28">
        <v>168.63709547423275</v>
      </c>
      <c r="I11" s="28"/>
      <c r="J11" s="25">
        <f>-Table134723[[#This Row],[Valor de la Factura del Cliente]]*0.5</f>
        <v>-84.318547737116376</v>
      </c>
      <c r="K11" s="28"/>
      <c r="L11" s="28"/>
      <c r="M11" s="28"/>
      <c r="N11" s="28"/>
      <c r="O11" s="28"/>
      <c r="P11" s="26">
        <f>SUM(Table134723[[#This Row],[Valor de la Factura del Cliente]:[Avance]])+P10</f>
        <v>140.76105297223893</v>
      </c>
    </row>
    <row r="12" spans="2:16" s="12" customFormat="1" ht="16.5" customHeight="1" x14ac:dyDescent="0.25">
      <c r="B12" s="47" t="s">
        <v>552</v>
      </c>
      <c r="C12" s="27"/>
      <c r="D12" s="27"/>
      <c r="E12" s="27"/>
      <c r="F12" s="27"/>
      <c r="G12" s="65" t="s">
        <v>580</v>
      </c>
      <c r="H12" s="28">
        <v>243.98148288627621</v>
      </c>
      <c r="I12" s="28"/>
      <c r="J12" s="25">
        <f>-Table134723[[#This Row],[Valor de la Factura del Cliente]]*0.5</f>
        <v>-121.99074144313811</v>
      </c>
      <c r="K12" s="28"/>
      <c r="L12" s="28"/>
      <c r="M12" s="28"/>
      <c r="N12" s="28"/>
      <c r="O12" s="28"/>
      <c r="P12" s="26">
        <f>SUM(Table134723[[#This Row],[Valor de la Factura del Cliente]:[Avance]])+P11</f>
        <v>262.75179441537705</v>
      </c>
    </row>
    <row r="13" spans="2:16" s="12" customFormat="1" ht="16.5" customHeight="1" x14ac:dyDescent="0.25">
      <c r="B13" s="47" t="s">
        <v>553</v>
      </c>
      <c r="C13" s="27"/>
      <c r="D13" s="27"/>
      <c r="E13" s="27"/>
      <c r="F13" s="27"/>
      <c r="G13" s="65" t="s">
        <v>580</v>
      </c>
      <c r="H13" s="28">
        <v>257.37563537029416</v>
      </c>
      <c r="I13" s="28"/>
      <c r="J13" s="25">
        <f>-Table134723[[#This Row],[Valor de la Factura del Cliente]]*0.5</f>
        <v>-128.68781768514708</v>
      </c>
      <c r="K13" s="28"/>
      <c r="L13" s="28"/>
      <c r="M13" s="28"/>
      <c r="N13" s="28"/>
      <c r="O13" s="28"/>
      <c r="P13" s="26">
        <f>SUM(Table134723[[#This Row],[Valor de la Factura del Cliente]:[Avance]])+P12</f>
        <v>391.43961210052413</v>
      </c>
    </row>
    <row r="14" spans="2:16" s="12" customFormat="1" ht="16.5" customHeight="1" x14ac:dyDescent="0.25">
      <c r="B14" s="47" t="s">
        <v>554</v>
      </c>
      <c r="C14" s="27"/>
      <c r="D14" s="27"/>
      <c r="E14" s="27"/>
      <c r="F14" s="27"/>
      <c r="G14" s="65" t="s">
        <v>580</v>
      </c>
      <c r="H14" s="28">
        <v>335.23940528613952</v>
      </c>
      <c r="I14" s="28"/>
      <c r="J14" s="25">
        <f>-Table134723[[#This Row],[Valor de la Factura del Cliente]]*0.5</f>
        <v>-167.61970264306976</v>
      </c>
      <c r="K14" s="28"/>
      <c r="L14" s="28"/>
      <c r="M14" s="28"/>
      <c r="N14" s="28"/>
      <c r="O14" s="28"/>
      <c r="P14" s="26">
        <f>SUM(Table134723[[#This Row],[Valor de la Factura del Cliente]:[Avance]])+P13</f>
        <v>559.05931474359386</v>
      </c>
    </row>
    <row r="15" spans="2:16" s="12" customFormat="1" ht="16.5" customHeight="1" x14ac:dyDescent="0.25">
      <c r="B15" s="47" t="s">
        <v>555</v>
      </c>
      <c r="C15" s="27"/>
      <c r="D15" s="27"/>
      <c r="E15" s="27"/>
      <c r="F15" s="27"/>
      <c r="G15" s="65" t="s">
        <v>580</v>
      </c>
      <c r="H15" s="28">
        <v>620.16150519903658</v>
      </c>
      <c r="I15" s="28"/>
      <c r="J15" s="25">
        <f>-Table134723[[#This Row],[Valor de la Factura del Cliente]]*0.5</f>
        <v>-310.08075259951829</v>
      </c>
      <c r="K15" s="28"/>
      <c r="L15" s="28"/>
      <c r="M15" s="28"/>
      <c r="N15" s="28"/>
      <c r="O15" s="28"/>
      <c r="P15" s="26">
        <f>SUM(Table134723[[#This Row],[Valor de la Factura del Cliente]:[Avance]])+P14</f>
        <v>869.14006734311215</v>
      </c>
    </row>
    <row r="16" spans="2:16" s="12" customFormat="1" ht="16.5" customHeight="1" x14ac:dyDescent="0.25">
      <c r="B16" s="47" t="s">
        <v>556</v>
      </c>
      <c r="C16" s="27"/>
      <c r="D16" s="27"/>
      <c r="E16" s="27"/>
      <c r="F16" s="27"/>
      <c r="G16" s="65" t="s">
        <v>580</v>
      </c>
      <c r="H16" s="28">
        <v>818.55701531486704</v>
      </c>
      <c r="I16" s="28"/>
      <c r="J16" s="25">
        <f>-Table134723[[#This Row],[Valor de la Factura del Cliente]]*0.5</f>
        <v>-409.27850765743352</v>
      </c>
      <c r="K16" s="28"/>
      <c r="L16" s="28"/>
      <c r="M16" s="28"/>
      <c r="N16" s="28"/>
      <c r="O16" s="28"/>
      <c r="P16" s="26">
        <f>SUM(Table134723[[#This Row],[Valor de la Factura del Cliente]:[Avance]])+P15</f>
        <v>1278.4185750005456</v>
      </c>
    </row>
    <row r="17" spans="2:16" s="12" customFormat="1" ht="16.5" customHeight="1" x14ac:dyDescent="0.25">
      <c r="B17" s="47" t="s">
        <v>557</v>
      </c>
      <c r="C17" s="27"/>
      <c r="D17" s="27"/>
      <c r="E17" s="27"/>
      <c r="F17" s="27"/>
      <c r="G17" s="65" t="s">
        <v>580</v>
      </c>
      <c r="H17" s="28">
        <v>736.00880926475509</v>
      </c>
      <c r="I17" s="28"/>
      <c r="J17" s="25">
        <f>-Table134723[[#This Row],[Valor de la Factura del Cliente]]*0.5</f>
        <v>-368.00440463237754</v>
      </c>
      <c r="K17" s="28"/>
      <c r="L17" s="28"/>
      <c r="M17" s="28"/>
      <c r="N17" s="28"/>
      <c r="O17" s="28"/>
      <c r="P17" s="26">
        <f>SUM(Table134723[[#This Row],[Valor de la Factura del Cliente]:[Avance]])+P16</f>
        <v>1646.4229796329232</v>
      </c>
    </row>
    <row r="18" spans="2:16" s="12" customFormat="1" ht="16.5" customHeight="1" x14ac:dyDescent="0.25">
      <c r="B18" s="47" t="s">
        <v>558</v>
      </c>
      <c r="C18" s="27"/>
      <c r="D18" s="27"/>
      <c r="E18" s="27"/>
      <c r="F18" s="27"/>
      <c r="G18" s="65" t="s">
        <v>580</v>
      </c>
      <c r="H18" s="28">
        <v>820.51103483694703</v>
      </c>
      <c r="I18" s="28"/>
      <c r="J18" s="25">
        <f>-Table134723[[#This Row],[Valor de la Factura del Cliente]]*0.5</f>
        <v>-410.25551741847352</v>
      </c>
      <c r="K18" s="28"/>
      <c r="L18" s="28"/>
      <c r="M18" s="28"/>
      <c r="N18" s="28"/>
      <c r="O18" s="28"/>
      <c r="P18" s="26">
        <f>SUM(Table134723[[#This Row],[Valor de la Factura del Cliente]:[Avance]])+P17</f>
        <v>2056.6784970513968</v>
      </c>
    </row>
    <row r="19" spans="2:16" s="12" customFormat="1" ht="16.5" customHeight="1" x14ac:dyDescent="0.25">
      <c r="B19" s="47" t="s">
        <v>559</v>
      </c>
      <c r="C19" s="27"/>
      <c r="D19" s="27"/>
      <c r="E19" s="27"/>
      <c r="F19" s="27"/>
      <c r="G19" s="65" t="s">
        <v>580</v>
      </c>
      <c r="H19" s="28">
        <v>701.38358333349686</v>
      </c>
      <c r="I19" s="28"/>
      <c r="J19" s="25">
        <f>-Table134723[[#This Row],[Valor de la Factura del Cliente]]*0.5</f>
        <v>-350.69179166674843</v>
      </c>
      <c r="K19" s="28"/>
      <c r="L19" s="28"/>
      <c r="M19" s="28"/>
      <c r="N19" s="28"/>
      <c r="O19" s="28"/>
      <c r="P19" s="26">
        <f>SUM(Table134723[[#This Row],[Valor de la Factura del Cliente]:[Avance]])+P18</f>
        <v>2407.3702887181453</v>
      </c>
    </row>
    <row r="20" spans="2:16" s="12" customFormat="1" ht="16.5" customHeight="1" x14ac:dyDescent="0.25">
      <c r="B20" s="47" t="s">
        <v>560</v>
      </c>
      <c r="C20" s="27"/>
      <c r="D20" s="27"/>
      <c r="E20" s="27"/>
      <c r="F20" s="27"/>
      <c r="G20" s="65" t="s">
        <v>580</v>
      </c>
      <c r="H20" s="28">
        <v>697.46251749252292</v>
      </c>
      <c r="I20" s="28"/>
      <c r="J20" s="25">
        <f>-Table134723[[#This Row],[Valor de la Factura del Cliente]]*0.5</f>
        <v>-348.73125874626146</v>
      </c>
      <c r="K20" s="28"/>
      <c r="L20" s="28"/>
      <c r="M20" s="28"/>
      <c r="N20" s="28"/>
      <c r="O20" s="28"/>
      <c r="P20" s="26">
        <f>SUM(Table134723[[#This Row],[Valor de la Factura del Cliente]:[Avance]])+P19</f>
        <v>2756.1015474644068</v>
      </c>
    </row>
    <row r="21" spans="2:16" s="12" customFormat="1" ht="16.5" customHeight="1" x14ac:dyDescent="0.25">
      <c r="B21" s="47" t="s">
        <v>561</v>
      </c>
      <c r="C21" s="27"/>
      <c r="D21" s="27"/>
      <c r="E21" s="27"/>
      <c r="F21" s="27"/>
      <c r="G21" s="65" t="s">
        <v>580</v>
      </c>
      <c r="H21" s="28">
        <v>706.05759803031231</v>
      </c>
      <c r="I21" s="28"/>
      <c r="J21" s="25">
        <f>-Table134723[[#This Row],[Valor de la Factura del Cliente]]*0.5</f>
        <v>-353.02879901515615</v>
      </c>
      <c r="K21" s="28"/>
      <c r="L21" s="28"/>
      <c r="M21" s="28"/>
      <c r="N21" s="28"/>
      <c r="O21" s="28"/>
      <c r="P21" s="26">
        <f>SUM(Table134723[[#This Row],[Valor de la Factura del Cliente]:[Avance]])+P20</f>
        <v>3109.1303464795628</v>
      </c>
    </row>
    <row r="22" spans="2:16" s="12" customFormat="1" ht="16.5" customHeight="1" x14ac:dyDescent="0.25">
      <c r="B22" s="47" t="s">
        <v>562</v>
      </c>
      <c r="C22" s="27"/>
      <c r="D22" s="27"/>
      <c r="E22" s="27"/>
      <c r="F22" s="27"/>
      <c r="G22" s="65" t="s">
        <v>580</v>
      </c>
      <c r="H22" s="28">
        <v>722.67979076480651</v>
      </c>
      <c r="I22" s="28"/>
      <c r="J22" s="25">
        <f>-Table134723[[#This Row],[Valor de la Factura del Cliente]]*0.5</f>
        <v>-361.33989538240326</v>
      </c>
      <c r="K22" s="28"/>
      <c r="L22" s="28"/>
      <c r="M22" s="28"/>
      <c r="N22" s="28"/>
      <c r="O22" s="28"/>
      <c r="P22" s="26">
        <f>SUM(Table134723[[#This Row],[Valor de la Factura del Cliente]:[Avance]])+P21</f>
        <v>3470.4702418619663</v>
      </c>
    </row>
    <row r="23" spans="2:16" s="12" customFormat="1" ht="16.5" customHeight="1" x14ac:dyDescent="0.25">
      <c r="B23" s="47" t="s">
        <v>563</v>
      </c>
      <c r="C23" s="27"/>
      <c r="D23" s="27"/>
      <c r="E23" s="27"/>
      <c r="F23" s="27"/>
      <c r="G23" s="65" t="s">
        <v>580</v>
      </c>
      <c r="H23" s="28">
        <v>914.45508273982966</v>
      </c>
      <c r="I23" s="28"/>
      <c r="J23" s="25">
        <f>-Table134723[[#This Row],[Valor de la Factura del Cliente]]*0.5</f>
        <v>-457.22754136991483</v>
      </c>
      <c r="K23" s="28"/>
      <c r="L23" s="28"/>
      <c r="M23" s="28"/>
      <c r="N23" s="28"/>
      <c r="O23" s="28"/>
      <c r="P23" s="26">
        <f>SUM(Table134723[[#This Row],[Valor de la Factura del Cliente]:[Avance]])+P22</f>
        <v>3927.6977832318812</v>
      </c>
    </row>
    <row r="24" spans="2:16" s="12" customFormat="1" ht="16.5" customHeight="1" x14ac:dyDescent="0.25">
      <c r="B24" s="47" t="s">
        <v>564</v>
      </c>
      <c r="C24" s="27"/>
      <c r="D24" s="27"/>
      <c r="E24" s="27"/>
      <c r="F24" s="27"/>
      <c r="G24" s="65" t="s">
        <v>580</v>
      </c>
      <c r="H24" s="28">
        <v>1148.9660843424247</v>
      </c>
      <c r="I24" s="28"/>
      <c r="J24" s="25">
        <f>-Table134723[[#This Row],[Valor de la Factura del Cliente]]*0.5</f>
        <v>-574.48304217121233</v>
      </c>
      <c r="K24" s="28"/>
      <c r="L24" s="28"/>
      <c r="M24" s="28"/>
      <c r="N24" s="28"/>
      <c r="O24" s="28"/>
      <c r="P24" s="26">
        <f>SUM(Table134723[[#This Row],[Valor de la Factura del Cliente]:[Avance]])+P23</f>
        <v>4502.1808254030939</v>
      </c>
    </row>
    <row r="25" spans="2:16" s="12" customFormat="1" ht="16.5" customHeight="1" x14ac:dyDescent="0.25">
      <c r="B25" s="47" t="s">
        <v>565</v>
      </c>
      <c r="C25" s="27"/>
      <c r="D25" s="27"/>
      <c r="E25" s="27"/>
      <c r="F25" s="27"/>
      <c r="G25" s="65" t="s">
        <v>580</v>
      </c>
      <c r="H25" s="28">
        <v>1000.572631116941</v>
      </c>
      <c r="I25" s="28"/>
      <c r="J25" s="25">
        <f>-Table134723[[#This Row],[Valor de la Factura del Cliente]]*0.5</f>
        <v>-500.28631555847051</v>
      </c>
      <c r="K25" s="28"/>
      <c r="L25" s="28"/>
      <c r="M25" s="28"/>
      <c r="N25" s="28"/>
      <c r="O25" s="28"/>
      <c r="P25" s="26">
        <f>SUM(Table134723[[#This Row],[Valor de la Factura del Cliente]:[Avance]])+P24</f>
        <v>5002.4671409615639</v>
      </c>
    </row>
    <row r="26" spans="2:16" s="12" customFormat="1" ht="16.5" customHeight="1" x14ac:dyDescent="0.25">
      <c r="B26" s="47" t="s">
        <v>566</v>
      </c>
      <c r="C26" s="27"/>
      <c r="D26" s="27"/>
      <c r="E26" s="27"/>
      <c r="F26" s="27"/>
      <c r="G26" s="65" t="s">
        <v>580</v>
      </c>
      <c r="H26" s="28">
        <v>935.00094667466055</v>
      </c>
      <c r="I26" s="28"/>
      <c r="J26" s="25">
        <f>-Table134723[[#This Row],[Valor de la Factura del Cliente]]*0.5</f>
        <v>-467.50047333733028</v>
      </c>
      <c r="K26" s="28"/>
      <c r="L26" s="28"/>
      <c r="M26" s="28"/>
      <c r="N26" s="28"/>
      <c r="O26" s="28"/>
      <c r="P26" s="26">
        <f>SUM(Table134723[[#This Row],[Valor de la Factura del Cliente]:[Avance]])+P25</f>
        <v>5469.9676142988937</v>
      </c>
    </row>
    <row r="27" spans="2:16" s="12" customFormat="1" ht="16.5" customHeight="1" x14ac:dyDescent="0.25">
      <c r="B27" s="47" t="s">
        <v>567</v>
      </c>
      <c r="C27" s="27"/>
      <c r="D27" s="27"/>
      <c r="E27" s="27"/>
      <c r="F27" s="27"/>
      <c r="G27" s="65" t="s">
        <v>580</v>
      </c>
      <c r="H27" s="28">
        <v>1078.4207688766096</v>
      </c>
      <c r="I27" s="28"/>
      <c r="J27" s="25">
        <f>-Table134723[[#This Row],[Valor de la Factura del Cliente]]*0.5</f>
        <v>-539.2103844383048</v>
      </c>
      <c r="K27" s="28"/>
      <c r="L27" s="28"/>
      <c r="M27" s="28"/>
      <c r="N27" s="28"/>
      <c r="O27" s="28"/>
      <c r="P27" s="26">
        <f>SUM(Table134723[[#This Row],[Valor de la Factura del Cliente]:[Avance]])+P26</f>
        <v>6009.1779987371983</v>
      </c>
    </row>
    <row r="28" spans="2:16" s="12" customFormat="1" ht="16.5" customHeight="1" x14ac:dyDescent="0.25">
      <c r="B28" s="47" t="s">
        <v>568</v>
      </c>
      <c r="C28" s="27"/>
      <c r="D28" s="27"/>
      <c r="E28" s="27"/>
      <c r="F28" s="27"/>
      <c r="G28" s="65" t="s">
        <v>580</v>
      </c>
      <c r="H28" s="28">
        <v>948.44</v>
      </c>
      <c r="I28" s="28"/>
      <c r="J28" s="25">
        <f>-Table134723[[#This Row],[Valor de la Factura del Cliente]]*0.5</f>
        <v>-474.22</v>
      </c>
      <c r="K28" s="28"/>
      <c r="L28" s="28"/>
      <c r="M28" s="28"/>
      <c r="N28" s="28"/>
      <c r="O28" s="28"/>
      <c r="P28" s="26">
        <f>SUM(Table134723[[#This Row],[Valor de la Factura del Cliente]:[Avance]])+P27</f>
        <v>6483.3979987371986</v>
      </c>
    </row>
    <row r="29" spans="2:16" s="12" customFormat="1" ht="16.5" customHeight="1" x14ac:dyDescent="0.25">
      <c r="B29" s="47" t="s">
        <v>569</v>
      </c>
      <c r="C29" s="27"/>
      <c r="D29" s="27"/>
      <c r="E29" s="27"/>
      <c r="F29" s="27"/>
      <c r="G29" s="65" t="s">
        <v>580</v>
      </c>
      <c r="H29" s="28">
        <v>906.41233838694825</v>
      </c>
      <c r="I29" s="28"/>
      <c r="J29" s="25">
        <f>-Table134723[[#This Row],[Valor de la Factura del Cliente]]*0.5</f>
        <v>-453.20616919347412</v>
      </c>
      <c r="K29" s="28"/>
      <c r="L29" s="28"/>
      <c r="M29" s="28"/>
      <c r="N29" s="28"/>
      <c r="O29" s="28"/>
      <c r="P29" s="26">
        <f>SUM(Table134723[[#This Row],[Valor de la Factura del Cliente]:[Avance]])+P28</f>
        <v>6936.6041679306727</v>
      </c>
    </row>
    <row r="30" spans="2:16" s="12" customFormat="1" ht="16.5" customHeight="1" x14ac:dyDescent="0.25">
      <c r="B30" s="47" t="s">
        <v>570</v>
      </c>
      <c r="C30" s="27"/>
      <c r="D30" s="27"/>
      <c r="E30" s="27"/>
      <c r="F30" s="27"/>
      <c r="G30" s="65" t="s">
        <v>580</v>
      </c>
      <c r="H30" s="28">
        <v>1025.4772612656918</v>
      </c>
      <c r="I30" s="28"/>
      <c r="J30" s="25">
        <f>-Table134723[[#This Row],[Valor de la Factura del Cliente]]*0.5</f>
        <v>-512.73863063284591</v>
      </c>
      <c r="K30" s="28"/>
      <c r="L30" s="28"/>
      <c r="M30" s="28"/>
      <c r="N30" s="28"/>
      <c r="O30" s="28"/>
      <c r="P30" s="26">
        <f>SUM(Table134723[[#This Row],[Valor de la Factura del Cliente]:[Avance]])+P29</f>
        <v>7449.342798563519</v>
      </c>
    </row>
    <row r="31" spans="2:16" s="12" customFormat="1" ht="16.5" customHeight="1" x14ac:dyDescent="0.25">
      <c r="B31" s="47" t="s">
        <v>571</v>
      </c>
      <c r="C31" s="27"/>
      <c r="D31" s="27"/>
      <c r="E31" s="27"/>
      <c r="F31" s="27"/>
      <c r="G31" s="65" t="s">
        <v>580</v>
      </c>
      <c r="H31" s="28">
        <v>924.1</v>
      </c>
      <c r="I31" s="28"/>
      <c r="J31" s="25">
        <f>-Table134723[[#This Row],[Valor de la Factura del Cliente]]*0.5</f>
        <v>-462.05</v>
      </c>
      <c r="K31" s="28"/>
      <c r="L31" s="28"/>
      <c r="M31" s="28"/>
      <c r="N31" s="28"/>
      <c r="O31" s="28"/>
      <c r="P31" s="26">
        <f>SUM(Table134723[[#This Row],[Valor de la Factura del Cliente]:[Avance]])+P30</f>
        <v>7911.3927985635191</v>
      </c>
    </row>
    <row r="32" spans="2:16" s="12" customFormat="1" ht="16.5" customHeight="1" x14ac:dyDescent="0.25">
      <c r="B32" s="47" t="s">
        <v>572</v>
      </c>
      <c r="C32" s="27"/>
      <c r="D32" s="27"/>
      <c r="E32" s="27"/>
      <c r="F32" s="27"/>
      <c r="G32" s="65" t="s">
        <v>580</v>
      </c>
      <c r="H32" s="28">
        <v>992.4777795768041</v>
      </c>
      <c r="I32" s="28"/>
      <c r="J32" s="25">
        <f>-Table134723[[#This Row],[Valor de la Factura del Cliente]]*0.5</f>
        <v>-496.23888978840205</v>
      </c>
      <c r="K32" s="28"/>
      <c r="L32" s="28"/>
      <c r="M32" s="28"/>
      <c r="N32" s="28"/>
      <c r="O32" s="28"/>
      <c r="P32" s="26">
        <f>SUM(Table134723[[#This Row],[Valor de la Factura del Cliente]:[Avance]])+P31</f>
        <v>8407.6316883519212</v>
      </c>
    </row>
    <row r="33" spans="2:16" s="12" customFormat="1" ht="16.5" customHeight="1" x14ac:dyDescent="0.25">
      <c r="B33" s="47" t="s">
        <v>573</v>
      </c>
      <c r="C33" s="27"/>
      <c r="D33" s="27"/>
      <c r="E33" s="27"/>
      <c r="F33" s="27"/>
      <c r="G33" s="65" t="s">
        <v>580</v>
      </c>
      <c r="H33" s="28">
        <v>1138.4091682044668</v>
      </c>
      <c r="I33" s="28"/>
      <c r="J33" s="25">
        <f>-Table134723[[#This Row],[Valor de la Factura del Cliente]]*0.5</f>
        <v>-569.20458410223341</v>
      </c>
      <c r="K33" s="28"/>
      <c r="L33" s="28"/>
      <c r="M33" s="28"/>
      <c r="N33" s="28"/>
      <c r="O33" s="28"/>
      <c r="P33" s="26">
        <f>SUM(Table134723[[#This Row],[Valor de la Factura del Cliente]:[Avance]])+P32</f>
        <v>8976.8362724541548</v>
      </c>
    </row>
    <row r="34" spans="2:16" s="12" customFormat="1" ht="16.5" customHeight="1" x14ac:dyDescent="0.25">
      <c r="B34" s="47" t="s">
        <v>574</v>
      </c>
      <c r="C34" s="27"/>
      <c r="D34" s="27"/>
      <c r="E34" s="27"/>
      <c r="F34" s="27"/>
      <c r="G34" s="65" t="s">
        <v>580</v>
      </c>
      <c r="H34" s="28">
        <v>1121.8364772978655</v>
      </c>
      <c r="I34" s="28"/>
      <c r="J34" s="25">
        <f>-Table134723[[#This Row],[Valor de la Factura del Cliente]]*0.5</f>
        <v>-560.91823864893274</v>
      </c>
      <c r="K34" s="28"/>
      <c r="L34" s="28"/>
      <c r="M34" s="28"/>
      <c r="N34" s="28"/>
      <c r="O34" s="28"/>
      <c r="P34" s="26">
        <f>SUM(Table134723[[#This Row],[Valor de la Factura del Cliente]:[Avance]])+P33</f>
        <v>9537.7545111030868</v>
      </c>
    </row>
    <row r="35" spans="2:16" s="12" customFormat="1" ht="16.5" customHeight="1" x14ac:dyDescent="0.25">
      <c r="B35" s="47" t="s">
        <v>575</v>
      </c>
      <c r="C35" s="27"/>
      <c r="D35" s="27"/>
      <c r="E35" s="27"/>
      <c r="F35" s="27"/>
      <c r="G35" s="65" t="s">
        <v>580</v>
      </c>
      <c r="H35" s="28">
        <v>1421.2235323928803</v>
      </c>
      <c r="I35" s="28"/>
      <c r="J35" s="25">
        <f>-Table134723[[#This Row],[Valor de la Factura del Cliente]]*0.5</f>
        <v>-710.61176619644016</v>
      </c>
      <c r="K35" s="28"/>
      <c r="L35" s="28"/>
      <c r="M35" s="28"/>
      <c r="N35" s="28"/>
      <c r="O35" s="28"/>
      <c r="P35" s="26">
        <f>SUM(Table134723[[#This Row],[Valor de la Factura del Cliente]:[Avance]])+P34</f>
        <v>10248.366277299527</v>
      </c>
    </row>
    <row r="36" spans="2:16" s="12" customFormat="1" ht="16.5" customHeight="1" x14ac:dyDescent="0.25">
      <c r="B36" s="47" t="s">
        <v>576</v>
      </c>
      <c r="C36" s="27"/>
      <c r="D36" s="27"/>
      <c r="E36" s="27"/>
      <c r="F36" s="27"/>
      <c r="G36" s="65" t="s">
        <v>580</v>
      </c>
      <c r="H36" s="28">
        <v>1594.4330335487803</v>
      </c>
      <c r="I36" s="28"/>
      <c r="J36" s="25">
        <f>-Table134723[[#This Row],[Valor de la Factura del Cliente]]*0.5</f>
        <v>-797.21651677439013</v>
      </c>
      <c r="K36" s="28"/>
      <c r="L36" s="28"/>
      <c r="M36" s="28"/>
      <c r="N36" s="28"/>
      <c r="O36" s="28"/>
      <c r="P36" s="26">
        <f>SUM(Table134723[[#This Row],[Valor de la Factura del Cliente]:[Avance]])+P35</f>
        <v>11045.582794073916</v>
      </c>
    </row>
    <row r="37" spans="2:16" s="12" customFormat="1" ht="16.5" customHeight="1" x14ac:dyDescent="0.25">
      <c r="B37" s="47" t="s">
        <v>577</v>
      </c>
      <c r="C37" s="27"/>
      <c r="D37" s="27"/>
      <c r="E37" s="27"/>
      <c r="F37" s="27"/>
      <c r="G37" s="65" t="s">
        <v>580</v>
      </c>
      <c r="H37" s="28">
        <v>1516.350413446462</v>
      </c>
      <c r="I37" s="28"/>
      <c r="J37" s="25">
        <f>-Table134723[[#This Row],[Valor de la Factura del Cliente]]*0.5</f>
        <v>-758.17520672323099</v>
      </c>
      <c r="K37" s="28"/>
      <c r="L37" s="28"/>
      <c r="M37" s="28"/>
      <c r="N37" s="28"/>
      <c r="O37" s="28"/>
      <c r="P37" s="26">
        <f>SUM(Table134723[[#This Row],[Valor de la Factura del Cliente]:[Avance]])+P36</f>
        <v>11803.758000797148</v>
      </c>
    </row>
    <row r="38" spans="2:16" s="12" customFormat="1" ht="16.5" customHeight="1" x14ac:dyDescent="0.25">
      <c r="B38" s="47" t="s">
        <v>578</v>
      </c>
      <c r="C38" s="27"/>
      <c r="D38" s="27"/>
      <c r="E38" s="27"/>
      <c r="F38" s="27"/>
      <c r="G38" s="65" t="s">
        <v>580</v>
      </c>
      <c r="H38" s="28">
        <v>1920.8011902046765</v>
      </c>
      <c r="I38" s="28"/>
      <c r="J38" s="25">
        <f>-Table134723[[#This Row],[Valor de la Factura del Cliente]]*0.5</f>
        <v>-960.40059510233823</v>
      </c>
      <c r="K38" s="28"/>
      <c r="L38" s="28"/>
      <c r="M38" s="28"/>
      <c r="N38" s="28"/>
      <c r="O38" s="28"/>
      <c r="P38" s="26">
        <f>SUM(Table134723[[#This Row],[Valor de la Factura del Cliente]:[Avance]])+P37</f>
        <v>12764.158595899487</v>
      </c>
    </row>
    <row r="39" spans="2:16" s="12" customFormat="1" ht="16.5" customHeight="1" x14ac:dyDescent="0.25">
      <c r="B39" s="47" t="s">
        <v>579</v>
      </c>
      <c r="C39" s="27"/>
      <c r="D39" s="27"/>
      <c r="E39" s="27"/>
      <c r="F39" s="27"/>
      <c r="G39" s="65" t="s">
        <v>580</v>
      </c>
      <c r="H39" s="28">
        <v>3848.3893415493776</v>
      </c>
      <c r="I39" s="28"/>
      <c r="J39" s="25">
        <f>-Table134723[[#This Row],[Valor de la Factura del Cliente]]*0.5</f>
        <v>-1924.1946707746888</v>
      </c>
      <c r="K39" s="28"/>
      <c r="L39" s="28"/>
      <c r="M39" s="28"/>
      <c r="N39" s="28"/>
      <c r="O39" s="28"/>
      <c r="P39" s="26">
        <f>SUM(Table134723[[#This Row],[Valor de la Factura del Cliente]:[Avance]])+P38</f>
        <v>14688.353266674176</v>
      </c>
    </row>
    <row r="40" spans="2:16" s="12" customFormat="1" ht="16.5" customHeight="1" x14ac:dyDescent="0.25">
      <c r="B40" s="47" t="s">
        <v>513</v>
      </c>
      <c r="C40" s="27"/>
      <c r="D40" s="27"/>
      <c r="E40" s="27"/>
      <c r="F40" s="27"/>
      <c r="G40" s="65" t="s">
        <v>541</v>
      </c>
      <c r="H40" s="28">
        <v>0</v>
      </c>
      <c r="I40" s="28"/>
      <c r="J40" s="28"/>
      <c r="K40" s="28">
        <f>-Table134723[[#This Row],[Valor de la Factura del Cliente]]*0.1</f>
        <v>0</v>
      </c>
      <c r="L40" s="28"/>
      <c r="M40" s="28"/>
      <c r="N40" s="28"/>
      <c r="O40" s="28"/>
      <c r="P40" s="26">
        <f>SUM(Table134723[[#This Row],[Valor de la Factura del Cliente]:[Avance]])+P39</f>
        <v>14688.353266674176</v>
      </c>
    </row>
    <row r="41" spans="2:16" s="12" customFormat="1" ht="16.5" customHeight="1" x14ac:dyDescent="0.25">
      <c r="B41" s="47" t="s">
        <v>514</v>
      </c>
      <c r="C41" s="27"/>
      <c r="D41" s="27"/>
      <c r="E41" s="27"/>
      <c r="F41" s="27"/>
      <c r="G41" s="65" t="s">
        <v>541</v>
      </c>
      <c r="H41" s="28">
        <v>385.77</v>
      </c>
      <c r="I41" s="28"/>
      <c r="J41" s="28"/>
      <c r="K41" s="28">
        <f>-Table134723[[#This Row],[Valor de la Factura del Cliente]]*0.1</f>
        <v>-38.576999999999998</v>
      </c>
      <c r="L41" s="28"/>
      <c r="M41" s="28"/>
      <c r="N41" s="28"/>
      <c r="O41" s="28"/>
      <c r="P41" s="26">
        <f>SUM(Table134723[[#This Row],[Valor de la Factura del Cliente]:[Avance]])+P40</f>
        <v>15035.546266674175</v>
      </c>
    </row>
    <row r="42" spans="2:16" s="12" customFormat="1" ht="16.5" customHeight="1" x14ac:dyDescent="0.25">
      <c r="B42" s="47" t="s">
        <v>515</v>
      </c>
      <c r="C42" s="27"/>
      <c r="D42" s="27"/>
      <c r="E42" s="27"/>
      <c r="F42" s="27"/>
      <c r="G42" s="65" t="s">
        <v>541</v>
      </c>
      <c r="H42" s="28">
        <v>482.31</v>
      </c>
      <c r="I42" s="28"/>
      <c r="J42" s="28"/>
      <c r="K42" s="28">
        <f>-Table134723[[#This Row],[Valor de la Factura del Cliente]]*0.1</f>
        <v>-48.231000000000002</v>
      </c>
      <c r="L42" s="28"/>
      <c r="M42" s="28"/>
      <c r="N42" s="28"/>
      <c r="O42" s="28"/>
      <c r="P42" s="26">
        <f>SUM(Table134723[[#This Row],[Valor de la Factura del Cliente]:[Avance]])+P41</f>
        <v>15469.625266674175</v>
      </c>
    </row>
    <row r="43" spans="2:16" s="12" customFormat="1" ht="16.5" customHeight="1" x14ac:dyDescent="0.25">
      <c r="B43" s="47" t="s">
        <v>516</v>
      </c>
      <c r="C43" s="27"/>
      <c r="D43" s="27"/>
      <c r="E43" s="27"/>
      <c r="F43" s="27"/>
      <c r="G43" s="65" t="s">
        <v>541</v>
      </c>
      <c r="H43" s="28">
        <v>237.31</v>
      </c>
      <c r="I43" s="28"/>
      <c r="J43" s="28"/>
      <c r="K43" s="28">
        <f>-Table134723[[#This Row],[Valor de la Factura del Cliente]]*0.1</f>
        <v>-23.731000000000002</v>
      </c>
      <c r="L43" s="28"/>
      <c r="M43" s="28"/>
      <c r="N43" s="28"/>
      <c r="O43" s="28"/>
      <c r="P43" s="26">
        <f>SUM(Table134723[[#This Row],[Valor de la Factura del Cliente]:[Avance]])+P42</f>
        <v>15683.204266674175</v>
      </c>
    </row>
    <row r="44" spans="2:16" s="12" customFormat="1" ht="16.5" customHeight="1" x14ac:dyDescent="0.25">
      <c r="B44" s="47" t="s">
        <v>517</v>
      </c>
      <c r="C44" s="27"/>
      <c r="D44" s="27"/>
      <c r="E44" s="27"/>
      <c r="F44" s="27"/>
      <c r="G44" s="65" t="s">
        <v>541</v>
      </c>
      <c r="H44" s="28">
        <v>2649.44</v>
      </c>
      <c r="I44" s="28"/>
      <c r="J44" s="28"/>
      <c r="K44" s="28">
        <f>-Table134723[[#This Row],[Valor de la Factura del Cliente]]*0.1</f>
        <v>-264.94400000000002</v>
      </c>
      <c r="L44" s="28"/>
      <c r="M44" s="28"/>
      <c r="N44" s="28"/>
      <c r="O44" s="28"/>
      <c r="P44" s="26">
        <f>SUM(Table134723[[#This Row],[Valor de la Factura del Cliente]:[Avance]])+P43</f>
        <v>18067.700266674176</v>
      </c>
    </row>
    <row r="45" spans="2:16" s="12" customFormat="1" ht="16.5" customHeight="1" x14ac:dyDescent="0.25">
      <c r="B45" s="47" t="s">
        <v>518</v>
      </c>
      <c r="C45" s="27"/>
      <c r="D45" s="27"/>
      <c r="E45" s="27"/>
      <c r="F45" s="27"/>
      <c r="G45" s="65" t="s">
        <v>541</v>
      </c>
      <c r="H45" s="28">
        <v>2165.34</v>
      </c>
      <c r="I45" s="28"/>
      <c r="J45" s="28"/>
      <c r="K45" s="28">
        <f>-Table134723[[#This Row],[Valor de la Factura del Cliente]]*0.1</f>
        <v>-216.53400000000002</v>
      </c>
      <c r="L45" s="28"/>
      <c r="M45" s="28"/>
      <c r="N45" s="28"/>
      <c r="O45" s="28"/>
      <c r="P45" s="26">
        <f>SUM(Table134723[[#This Row],[Valor de la Factura del Cliente]:[Avance]])+P44</f>
        <v>20016.506266674176</v>
      </c>
    </row>
    <row r="46" spans="2:16" s="12" customFormat="1" ht="16.5" customHeight="1" x14ac:dyDescent="0.25">
      <c r="B46" s="47" t="s">
        <v>519</v>
      </c>
      <c r="C46" s="27"/>
      <c r="D46" s="27"/>
      <c r="E46" s="27"/>
      <c r="F46" s="27"/>
      <c r="G46" s="65" t="s">
        <v>541</v>
      </c>
      <c r="H46" s="28">
        <v>174.56</v>
      </c>
      <c r="I46" s="28"/>
      <c r="J46" s="28"/>
      <c r="K46" s="28">
        <f>-Table134723[[#This Row],[Valor de la Factura del Cliente]]*0.1</f>
        <v>-17.456</v>
      </c>
      <c r="L46" s="28"/>
      <c r="M46" s="28"/>
      <c r="N46" s="28"/>
      <c r="O46" s="28"/>
      <c r="P46" s="26">
        <f>SUM(Table134723[[#This Row],[Valor de la Factura del Cliente]:[Avance]])+P45</f>
        <v>20173.610266674175</v>
      </c>
    </row>
    <row r="47" spans="2:16" s="12" customFormat="1" ht="16.5" customHeight="1" x14ac:dyDescent="0.25">
      <c r="B47" s="47" t="s">
        <v>520</v>
      </c>
      <c r="C47" s="27"/>
      <c r="D47" s="27"/>
      <c r="E47" s="27"/>
      <c r="F47" s="27"/>
      <c r="G47" s="65" t="s">
        <v>541</v>
      </c>
      <c r="H47" s="28">
        <v>333.31</v>
      </c>
      <c r="I47" s="28"/>
      <c r="J47" s="28"/>
      <c r="K47" s="28">
        <f>-Table134723[[#This Row],[Valor de la Factura del Cliente]]*0.1</f>
        <v>-33.331000000000003</v>
      </c>
      <c r="L47" s="28"/>
      <c r="M47" s="28"/>
      <c r="N47" s="28"/>
      <c r="O47" s="28"/>
      <c r="P47" s="26">
        <f>SUM(Table134723[[#This Row],[Valor de la Factura del Cliente]:[Avance]])+P46</f>
        <v>20473.589266674175</v>
      </c>
    </row>
    <row r="48" spans="2:16" s="12" customFormat="1" ht="16.5" customHeight="1" x14ac:dyDescent="0.25">
      <c r="B48" s="47" t="s">
        <v>521</v>
      </c>
      <c r="C48" s="27"/>
      <c r="D48" s="27"/>
      <c r="E48" s="27"/>
      <c r="F48" s="27"/>
      <c r="G48" s="65" t="s">
        <v>541</v>
      </c>
      <c r="H48" s="28">
        <v>319.33</v>
      </c>
      <c r="I48" s="28"/>
      <c r="J48" s="28"/>
      <c r="K48" s="28">
        <f>-Table134723[[#This Row],[Valor de la Factura del Cliente]]*0.1</f>
        <v>-31.933</v>
      </c>
      <c r="L48" s="28"/>
      <c r="M48" s="28"/>
      <c r="N48" s="28"/>
      <c r="O48" s="28"/>
      <c r="P48" s="26">
        <f>SUM(Table134723[[#This Row],[Valor de la Factura del Cliente]:[Avance]])+P47</f>
        <v>20760.986266674176</v>
      </c>
    </row>
    <row r="49" spans="2:16" s="12" customFormat="1" ht="16.5" customHeight="1" x14ac:dyDescent="0.25">
      <c r="B49" s="47" t="s">
        <v>522</v>
      </c>
      <c r="C49" s="27"/>
      <c r="D49" s="27"/>
      <c r="E49" s="27"/>
      <c r="F49" s="27"/>
      <c r="G49" s="65" t="s">
        <v>541</v>
      </c>
      <c r="H49" s="28">
        <v>306.61</v>
      </c>
      <c r="I49" s="28"/>
      <c r="J49" s="28"/>
      <c r="K49" s="28">
        <f>-Table134723[[#This Row],[Valor de la Factura del Cliente]]*0.1</f>
        <v>-30.661000000000001</v>
      </c>
      <c r="L49" s="28"/>
      <c r="M49" s="28"/>
      <c r="N49" s="28"/>
      <c r="O49" s="28"/>
      <c r="P49" s="26">
        <f>SUM(Table134723[[#This Row],[Valor de la Factura del Cliente]:[Avance]])+P48</f>
        <v>21036.935266674176</v>
      </c>
    </row>
    <row r="50" spans="2:16" s="12" customFormat="1" ht="16.5" customHeight="1" x14ac:dyDescent="0.25">
      <c r="B50" s="47" t="s">
        <v>523</v>
      </c>
      <c r="C50" s="27"/>
      <c r="D50" s="27"/>
      <c r="E50" s="27"/>
      <c r="F50" s="27"/>
      <c r="G50" s="65" t="s">
        <v>541</v>
      </c>
      <c r="H50" s="28">
        <v>858.01</v>
      </c>
      <c r="I50" s="28"/>
      <c r="J50" s="28"/>
      <c r="K50" s="28">
        <f>-Table134723[[#This Row],[Valor de la Factura del Cliente]]*0.1</f>
        <v>-85.801000000000002</v>
      </c>
      <c r="L50" s="28"/>
      <c r="M50" s="28"/>
      <c r="N50" s="28"/>
      <c r="O50" s="28"/>
      <c r="P50" s="26">
        <f>SUM(Table134723[[#This Row],[Valor de la Factura del Cliente]:[Avance]])+P49</f>
        <v>21809.144266674175</v>
      </c>
    </row>
    <row r="51" spans="2:16" s="12" customFormat="1" ht="16.5" customHeight="1" x14ac:dyDescent="0.25">
      <c r="B51" s="47" t="s">
        <v>524</v>
      </c>
      <c r="C51" s="27"/>
      <c r="D51" s="27"/>
      <c r="E51" s="27"/>
      <c r="F51" s="27"/>
      <c r="G51" s="65" t="s">
        <v>541</v>
      </c>
      <c r="H51" s="28">
        <v>1061.76</v>
      </c>
      <c r="I51" s="28"/>
      <c r="J51" s="28"/>
      <c r="K51" s="28">
        <f>-Table134723[[#This Row],[Valor de la Factura del Cliente]]*0.1</f>
        <v>-106.176</v>
      </c>
      <c r="L51" s="28"/>
      <c r="M51" s="28"/>
      <c r="N51" s="28"/>
      <c r="O51" s="28"/>
      <c r="P51" s="26">
        <f>SUM(Table134723[[#This Row],[Valor de la Factura del Cliente]:[Avance]])+P50</f>
        <v>22764.728266674174</v>
      </c>
    </row>
    <row r="52" spans="2:16" s="12" customFormat="1" ht="16.5" customHeight="1" x14ac:dyDescent="0.25">
      <c r="B52" s="47" t="s">
        <v>525</v>
      </c>
      <c r="C52" s="27"/>
      <c r="D52" s="27"/>
      <c r="E52" s="27"/>
      <c r="F52" s="27"/>
      <c r="G52" s="65" t="s">
        <v>541</v>
      </c>
      <c r="H52" s="28">
        <v>1082.02</v>
      </c>
      <c r="I52" s="28"/>
      <c r="J52" s="28"/>
      <c r="K52" s="28">
        <f>-Table134723[[#This Row],[Valor de la Factura del Cliente]]*0.1</f>
        <v>-108.202</v>
      </c>
      <c r="L52" s="28"/>
      <c r="M52" s="28"/>
      <c r="N52" s="28"/>
      <c r="O52" s="28"/>
      <c r="P52" s="26">
        <f>SUM(Table134723[[#This Row],[Valor de la Factura del Cliente]:[Avance]])+P51</f>
        <v>23738.546266674173</v>
      </c>
    </row>
    <row r="53" spans="2:16" s="12" customFormat="1" ht="16.5" customHeight="1" x14ac:dyDescent="0.25">
      <c r="B53" s="47" t="s">
        <v>526</v>
      </c>
      <c r="C53" s="27"/>
      <c r="D53" s="27"/>
      <c r="E53" s="27"/>
      <c r="F53" s="27"/>
      <c r="G53" s="65" t="s">
        <v>541</v>
      </c>
      <c r="H53" s="28">
        <v>1884.77</v>
      </c>
      <c r="I53" s="28"/>
      <c r="J53" s="28"/>
      <c r="K53" s="28">
        <f>-Table134723[[#This Row],[Valor de la Factura del Cliente]]*0.1</f>
        <v>-188.477</v>
      </c>
      <c r="L53" s="28"/>
      <c r="M53" s="28"/>
      <c r="N53" s="28"/>
      <c r="O53" s="28"/>
      <c r="P53" s="26">
        <f>SUM(Table134723[[#This Row],[Valor de la Factura del Cliente]:[Avance]])+P52</f>
        <v>25434.839266674175</v>
      </c>
    </row>
    <row r="54" spans="2:16" s="12" customFormat="1" ht="16.5" customHeight="1" x14ac:dyDescent="0.25">
      <c r="B54" s="47" t="s">
        <v>527</v>
      </c>
      <c r="C54" s="27"/>
      <c r="D54" s="27"/>
      <c r="E54" s="27"/>
      <c r="F54" s="27"/>
      <c r="G54" s="65" t="s">
        <v>541</v>
      </c>
      <c r="H54" s="28">
        <v>4154.1000000000004</v>
      </c>
      <c r="I54" s="28"/>
      <c r="J54" s="28"/>
      <c r="K54" s="28">
        <f>-Table134723[[#This Row],[Valor de la Factura del Cliente]]*0.1</f>
        <v>-415.41000000000008</v>
      </c>
      <c r="L54" s="28"/>
      <c r="M54" s="28"/>
      <c r="N54" s="28"/>
      <c r="O54" s="28"/>
      <c r="P54" s="26">
        <f>SUM(Table134723[[#This Row],[Valor de la Factura del Cliente]:[Avance]])+P53</f>
        <v>29173.529266674173</v>
      </c>
    </row>
    <row r="55" spans="2:16" s="12" customFormat="1" ht="16.5" customHeight="1" x14ac:dyDescent="0.25">
      <c r="B55" s="47" t="s">
        <v>528</v>
      </c>
      <c r="C55" s="27"/>
      <c r="D55" s="27"/>
      <c r="E55" s="27"/>
      <c r="F55" s="27"/>
      <c r="G55" s="65" t="s">
        <v>581</v>
      </c>
      <c r="H55" s="28">
        <v>6686.81</v>
      </c>
      <c r="I55" s="28"/>
      <c r="J55" s="28"/>
      <c r="K55" s="28">
        <f>-Table134723[[#This Row],[Valor de la Factura del Cliente]]*0.1</f>
        <v>-668.68100000000004</v>
      </c>
      <c r="L55" s="28"/>
      <c r="M55" s="28"/>
      <c r="N55" s="28"/>
      <c r="O55" s="28"/>
      <c r="P55" s="26">
        <f>SUM(Table134723[[#This Row],[Valor de la Factura del Cliente]:[Avance]])+P54</f>
        <v>35191.658266674174</v>
      </c>
    </row>
    <row r="56" spans="2:16" s="12" customFormat="1" ht="16.5" customHeight="1" x14ac:dyDescent="0.25">
      <c r="B56" s="47" t="s">
        <v>529</v>
      </c>
      <c r="C56" s="27"/>
      <c r="D56" s="27"/>
      <c r="E56" s="27"/>
      <c r="F56" s="27"/>
      <c r="G56" s="65" t="s">
        <v>581</v>
      </c>
      <c r="H56" s="28">
        <v>8119.51</v>
      </c>
      <c r="I56" s="28"/>
      <c r="J56" s="28"/>
      <c r="K56" s="28">
        <f>-Table134723[[#This Row],[Valor de la Factura del Cliente]]*0.1</f>
        <v>-811.95100000000002</v>
      </c>
      <c r="L56" s="28"/>
      <c r="M56" s="28"/>
      <c r="N56" s="28"/>
      <c r="O56" s="28"/>
      <c r="P56" s="26">
        <f>SUM(Table134723[[#This Row],[Valor de la Factura del Cliente]:[Avance]])+P55</f>
        <v>42499.217266674175</v>
      </c>
    </row>
    <row r="57" spans="2:16" s="12" customFormat="1" ht="16.5" customHeight="1" x14ac:dyDescent="0.25">
      <c r="B57" s="47" t="s">
        <v>530</v>
      </c>
      <c r="C57" s="27"/>
      <c r="D57" s="27"/>
      <c r="E57" s="27"/>
      <c r="F57" s="27"/>
      <c r="G57" s="65" t="s">
        <v>581</v>
      </c>
      <c r="H57" s="28">
        <v>12733.1</v>
      </c>
      <c r="I57" s="28"/>
      <c r="J57" s="28"/>
      <c r="K57" s="28">
        <f>-Table134723[[#This Row],[Valor de la Factura del Cliente]]*0.1</f>
        <v>-1273.3100000000002</v>
      </c>
      <c r="L57" s="28"/>
      <c r="M57" s="28"/>
      <c r="N57" s="28"/>
      <c r="O57" s="28"/>
      <c r="P57" s="26">
        <f>SUM(Table134723[[#This Row],[Valor de la Factura del Cliente]:[Avance]])+P56</f>
        <v>53959.007266674176</v>
      </c>
    </row>
    <row r="58" spans="2:16" s="12" customFormat="1" ht="16.5" customHeight="1" x14ac:dyDescent="0.25">
      <c r="B58" s="47" t="s">
        <v>94</v>
      </c>
      <c r="C58" s="27"/>
      <c r="D58" s="27"/>
      <c r="E58" s="27"/>
      <c r="F58" s="27"/>
      <c r="G58" s="65" t="s">
        <v>581</v>
      </c>
      <c r="H58" s="28">
        <v>2123.8599999999997</v>
      </c>
      <c r="I58" s="28"/>
      <c r="J58" s="28"/>
      <c r="K58" s="28">
        <f>-Table134723[[#This Row],[Valor de la Factura del Cliente]]*0.1</f>
        <v>-212.38599999999997</v>
      </c>
      <c r="L58" s="28"/>
      <c r="M58" s="28"/>
      <c r="N58" s="28"/>
      <c r="O58" s="28"/>
      <c r="P58" s="26">
        <f>SUM(Table134723[[#This Row],[Valor de la Factura del Cliente]:[Avance]])+P57</f>
        <v>55870.481266674178</v>
      </c>
    </row>
    <row r="59" spans="2:16" ht="16.5" customHeight="1" x14ac:dyDescent="0.45">
      <c r="B59" s="42" t="s">
        <v>531</v>
      </c>
      <c r="C59" s="43"/>
      <c r="D59" s="43"/>
      <c r="E59" s="43"/>
      <c r="F59" s="43"/>
      <c r="G59" s="43" t="s">
        <v>581</v>
      </c>
      <c r="H59" s="45">
        <v>9070.07</v>
      </c>
      <c r="I59" s="45"/>
      <c r="J59" s="45"/>
      <c r="K59" s="28">
        <f>-Table134723[[#This Row],[Valor de la Factura del Cliente]]*0.1</f>
        <v>-907.00700000000006</v>
      </c>
      <c r="L59" s="45"/>
      <c r="M59" s="45"/>
      <c r="N59" s="45"/>
      <c r="O59" s="45"/>
      <c r="P59" s="26">
        <f>SUM(Table134723[[#This Row],[Valor de la Factura del Cliente]:[Avance]])+P58</f>
        <v>64033.54426667418</v>
      </c>
    </row>
    <row r="60" spans="2:16" ht="16.5" customHeight="1" x14ac:dyDescent="0.45">
      <c r="B60" s="69">
        <v>44692</v>
      </c>
      <c r="C60" s="67"/>
      <c r="D60" s="67"/>
      <c r="E60" s="67"/>
      <c r="F60" s="67"/>
      <c r="G60" s="67" t="s">
        <v>583</v>
      </c>
      <c r="H60" s="68"/>
      <c r="I60" s="68"/>
      <c r="J60" s="68"/>
      <c r="K60" s="68"/>
      <c r="L60" s="68"/>
      <c r="M60" s="68"/>
      <c r="N60" s="68">
        <v>-5583.7</v>
      </c>
      <c r="O60" s="68"/>
      <c r="P60" s="26">
        <f>SUM(Table134723[[#This Row],[Valor de la Factura del Cliente]:[Avance]])+P59</f>
        <v>58449.844266674183</v>
      </c>
    </row>
    <row r="61" spans="2:16" ht="16.5" customHeight="1" x14ac:dyDescent="0.45">
      <c r="B61" s="49">
        <v>45309</v>
      </c>
      <c r="C61" s="43"/>
      <c r="D61" s="43"/>
      <c r="E61" s="43"/>
      <c r="F61" s="43"/>
      <c r="G61" s="43" t="s">
        <v>583</v>
      </c>
      <c r="H61" s="45"/>
      <c r="I61" s="45"/>
      <c r="J61" s="45"/>
      <c r="K61" s="45"/>
      <c r="L61" s="45"/>
      <c r="M61" s="45"/>
      <c r="N61" s="45">
        <v>-2999.88</v>
      </c>
      <c r="O61" s="45"/>
      <c r="P61" s="26">
        <f>SUM(Table134723[[#This Row],[Valor de la Factura del Cliente]:[Avance]])+P60</f>
        <v>55449.964266674186</v>
      </c>
    </row>
    <row r="62" spans="2:16" ht="16.5" customHeight="1" x14ac:dyDescent="0.45">
      <c r="B62" s="49">
        <v>45547</v>
      </c>
      <c r="C62" s="43"/>
      <c r="D62" s="43"/>
      <c r="E62" s="43"/>
      <c r="F62" s="43"/>
      <c r="G62" s="43" t="s">
        <v>583</v>
      </c>
      <c r="H62" s="45"/>
      <c r="I62" s="45"/>
      <c r="J62" s="45"/>
      <c r="K62" s="45"/>
      <c r="L62" s="45"/>
      <c r="M62" s="45"/>
      <c r="N62" s="45">
        <v>-18661.990000000002</v>
      </c>
      <c r="O62" s="45"/>
      <c r="P62" s="26">
        <f>SUM(Table134723[[#This Row],[Valor de la Factura del Cliente]:[Avance]])+P61</f>
        <v>36787.97426667418</v>
      </c>
    </row>
    <row r="63" spans="2:16" ht="16.5" customHeight="1" x14ac:dyDescent="0.45">
      <c r="B63" s="49">
        <v>45548</v>
      </c>
      <c r="C63" s="43"/>
      <c r="D63" s="43"/>
      <c r="E63" s="43"/>
      <c r="F63" s="43"/>
      <c r="G63" s="43" t="s">
        <v>583</v>
      </c>
      <c r="H63" s="45"/>
      <c r="I63" s="45"/>
      <c r="J63" s="45"/>
      <c r="K63" s="45"/>
      <c r="L63" s="45"/>
      <c r="M63" s="45"/>
      <c r="N63" s="45">
        <v>-9242.7800000000007</v>
      </c>
      <c r="O63" s="45"/>
      <c r="P63" s="26">
        <f>SUM(Table134723[[#This Row],[Valor de la Factura del Cliente]:[Avance]])+P62</f>
        <v>27545.194266674182</v>
      </c>
    </row>
    <row r="64" spans="2:16" ht="16.5" customHeight="1" x14ac:dyDescent="0.45">
      <c r="B64" s="49">
        <v>45806</v>
      </c>
      <c r="C64" s="43"/>
      <c r="D64" s="43"/>
      <c r="E64" s="43"/>
      <c r="F64" s="43"/>
      <c r="G64" s="43" t="s">
        <v>583</v>
      </c>
      <c r="H64" s="45"/>
      <c r="I64" s="45"/>
      <c r="J64" s="45"/>
      <c r="K64" s="45"/>
      <c r="L64" s="45"/>
      <c r="M64" s="45"/>
      <c r="N64" s="45">
        <v>-11873.59</v>
      </c>
      <c r="O64" s="45"/>
      <c r="P64" s="26">
        <f>SUM(Table134723[[#This Row],[Valor de la Factura del Cliente]:[Avance]])+P63</f>
        <v>15671.604266674181</v>
      </c>
    </row>
    <row r="65" spans="2:16" ht="16.5" customHeight="1" thickBot="1" x14ac:dyDescent="0.5">
      <c r="B65" s="49">
        <v>45930</v>
      </c>
      <c r="C65" s="43"/>
      <c r="D65" s="43"/>
      <c r="E65" s="43"/>
      <c r="F65" s="43"/>
      <c r="G65" s="43" t="s">
        <v>583</v>
      </c>
      <c r="H65" s="45"/>
      <c r="I65" s="45"/>
      <c r="J65" s="45"/>
      <c r="K65" s="45"/>
      <c r="L65" s="45"/>
      <c r="M65" s="45"/>
      <c r="N65" s="45">
        <v>-9000</v>
      </c>
      <c r="O65" s="45"/>
      <c r="P65" s="26">
        <f>SUM(Table134723[[#This Row],[Valor de la Factura del Cliente]:[Avance]])+P64</f>
        <v>6671.6042666741814</v>
      </c>
    </row>
    <row r="66" spans="2:16" ht="16.5" customHeight="1" thickBot="1" x14ac:dyDescent="0.5">
      <c r="B66" s="22"/>
      <c r="C66" s="23"/>
      <c r="D66" s="23"/>
      <c r="E66" s="23"/>
      <c r="F66" s="23"/>
      <c r="G66" s="34" t="s">
        <v>356</v>
      </c>
      <c r="H66" s="35">
        <f>SUBTOTAL(109,Table134723[Valor de la Factura del Cliente])</f>
        <v>84204.696533348353</v>
      </c>
      <c r="I66" s="35">
        <f>SUBTOTAL(109,Table134723[Cargos Bancarios])</f>
        <v>0</v>
      </c>
      <c r="J66" s="35"/>
      <c r="K66" s="35">
        <f>SUBTOTAL(109,Table134723[10% Comisión])</f>
        <v>-5482.7990000000009</v>
      </c>
      <c r="L66" s="35">
        <f>SUBTOTAL(109,Table134723[5% Legal])</f>
        <v>0</v>
      </c>
      <c r="M66" s="35">
        <f>SUBTOTAL(109,Table134723[Retención de Impuestos])</f>
        <v>0</v>
      </c>
      <c r="N66" s="35">
        <f>SUBTOTAL(109,Table134723[Pagado por MVPX])</f>
        <v>-57361.94</v>
      </c>
      <c r="O66" s="35">
        <f>SUBTOTAL(109,Table134723[Avance])</f>
        <v>0</v>
      </c>
      <c r="P66" s="36">
        <f>+P65</f>
        <v>6671.6042666741814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8138-7415-4C83-91CB-73660FB3E4FF}">
  <sheetPr>
    <pageSetUpPr fitToPage="1"/>
  </sheetPr>
  <dimension ref="B1:P76"/>
  <sheetViews>
    <sheetView showGridLines="0" view="pageLayout" zoomScale="70" zoomScaleNormal="100" zoomScaleSheetLayoutView="70" zoomScalePageLayoutView="70" workbookViewId="0">
      <selection activeCell="P77" sqref="P77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9" width="14.42578125" style="8" customWidth="1"/>
    <col min="10" max="11" width="18.28515625" style="8" bestFit="1" customWidth="1"/>
    <col min="12" max="12" width="18.7109375" style="8" bestFit="1" customWidth="1"/>
    <col min="13" max="13" width="16.5703125" style="8" customWidth="1"/>
    <col min="14" max="15" width="17" style="8" bestFit="1" customWidth="1"/>
    <col min="16" max="16" width="14.5703125" style="8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512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51" t="str">
        <f>+'Base de datos'!E17</f>
        <v>Yan Carlo Francisco Guzmán Velásquez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MIN(Table134721[Fecha])</f>
        <v>43872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MAX(Table134721[Fecha])</f>
        <v>45861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/>
      <c r="C9" s="24"/>
      <c r="D9" s="24"/>
      <c r="E9" s="24"/>
      <c r="F9" s="24"/>
      <c r="G9" s="24" t="s">
        <v>532</v>
      </c>
      <c r="H9" s="25">
        <v>3418.2</v>
      </c>
      <c r="I9" s="25"/>
      <c r="J9" s="25"/>
      <c r="K9" s="25"/>
      <c r="L9" s="25"/>
      <c r="M9" s="25"/>
      <c r="N9" s="25"/>
      <c r="O9" s="25"/>
      <c r="P9" s="26">
        <f>SUM(Table134721[[#This Row],[Valor de la Factura del Cliente]:[Avance]])</f>
        <v>3418.2</v>
      </c>
    </row>
    <row r="10" spans="2:16" s="12" customFormat="1" ht="36" x14ac:dyDescent="0.25">
      <c r="B10" s="47">
        <v>44309</v>
      </c>
      <c r="C10" s="27"/>
      <c r="D10" s="27"/>
      <c r="E10" s="27"/>
      <c r="F10" s="27"/>
      <c r="G10" s="27" t="s">
        <v>533</v>
      </c>
      <c r="H10" s="28">
        <v>4839.6000000000004</v>
      </c>
      <c r="I10" s="28"/>
      <c r="J10" s="25"/>
      <c r="K10" s="25">
        <f>-Table134721[[#This Row],[Valor de la Factura del Cliente]]*0.2</f>
        <v>-967.92000000000007</v>
      </c>
      <c r="L10" s="25">
        <f>-Table134721[[#This Row],[Valor de la Factura del Cliente]]*0.05</f>
        <v>-241.98000000000002</v>
      </c>
      <c r="M10" s="28"/>
      <c r="N10" s="28"/>
      <c r="O10" s="28"/>
      <c r="P10" s="26">
        <f>SUM(Table134721[[#This Row],[Valor de la Factura del Cliente]:[Avance]])+P9</f>
        <v>7047.9</v>
      </c>
    </row>
    <row r="11" spans="2:16" s="12" customFormat="1" x14ac:dyDescent="0.25">
      <c r="B11" s="47">
        <v>44127</v>
      </c>
      <c r="C11" s="27"/>
      <c r="D11" s="27"/>
      <c r="E11" s="27"/>
      <c r="F11" s="27"/>
      <c r="G11" s="27" t="s">
        <v>534</v>
      </c>
      <c r="H11" s="28">
        <v>3000</v>
      </c>
      <c r="I11" s="28"/>
      <c r="J11" s="25"/>
      <c r="K11" s="25">
        <f>-Table134721[[#This Row],[Valor de la Factura del Cliente]]*0.2</f>
        <v>-600</v>
      </c>
      <c r="L11" s="25">
        <f>-Table134721[[#This Row],[Valor de la Factura del Cliente]]*0.05</f>
        <v>-150</v>
      </c>
      <c r="M11" s="28"/>
      <c r="N11" s="28"/>
      <c r="O11" s="28"/>
      <c r="P11" s="26">
        <f>SUM(Table134721[[#This Row],[Valor de la Factura del Cliente]:[Avance]])+P10</f>
        <v>9297.9</v>
      </c>
    </row>
    <row r="12" spans="2:16" s="12" customFormat="1" ht="36" x14ac:dyDescent="0.25">
      <c r="B12" s="47">
        <v>43872</v>
      </c>
      <c r="C12" s="27"/>
      <c r="D12" s="27"/>
      <c r="E12" s="27"/>
      <c r="F12" s="27"/>
      <c r="G12" s="27" t="s">
        <v>535</v>
      </c>
      <c r="H12" s="28">
        <v>2000</v>
      </c>
      <c r="I12" s="28"/>
      <c r="J12" s="25"/>
      <c r="K12" s="25">
        <f>-Table134721[[#This Row],[Valor de la Factura del Cliente]]*0.2</f>
        <v>-400</v>
      </c>
      <c r="L12" s="25">
        <f>-Table134721[[#This Row],[Valor de la Factura del Cliente]]*0.05</f>
        <v>-100</v>
      </c>
      <c r="M12" s="28"/>
      <c r="N12" s="28"/>
      <c r="O12" s="28"/>
      <c r="P12" s="26">
        <f>SUM(Table134721[[#This Row],[Valor de la Factura del Cliente]:[Avance]])+P11</f>
        <v>10797.9</v>
      </c>
    </row>
    <row r="13" spans="2:16" s="12" customFormat="1" ht="36" x14ac:dyDescent="0.25">
      <c r="B13" s="47">
        <v>44055</v>
      </c>
      <c r="C13" s="27"/>
      <c r="D13" s="27"/>
      <c r="E13" s="27"/>
      <c r="F13" s="27"/>
      <c r="G13" s="27" t="s">
        <v>536</v>
      </c>
      <c r="H13" s="28">
        <v>2500</v>
      </c>
      <c r="I13" s="28"/>
      <c r="J13" s="25"/>
      <c r="K13" s="25">
        <f>-Table134721[[#This Row],[Valor de la Factura del Cliente]]*0.2</f>
        <v>-500</v>
      </c>
      <c r="L13" s="25">
        <f>-Table134721[[#This Row],[Valor de la Factura del Cliente]]*0.05</f>
        <v>-125</v>
      </c>
      <c r="M13" s="28"/>
      <c r="N13" s="28"/>
      <c r="O13" s="28"/>
      <c r="P13" s="26">
        <f>SUM(Table134721[[#This Row],[Valor de la Factura del Cliente]:[Avance]])+P12</f>
        <v>12672.9</v>
      </c>
    </row>
    <row r="14" spans="2:16" s="12" customFormat="1" ht="36" x14ac:dyDescent="0.25">
      <c r="B14" s="47">
        <v>44049</v>
      </c>
      <c r="C14" s="27"/>
      <c r="D14" s="27"/>
      <c r="E14" s="27"/>
      <c r="F14" s="27"/>
      <c r="G14" s="27" t="s">
        <v>537</v>
      </c>
      <c r="H14" s="28">
        <v>4000</v>
      </c>
      <c r="I14" s="28"/>
      <c r="J14" s="25"/>
      <c r="K14" s="25">
        <f>-Table134721[[#This Row],[Valor de la Factura del Cliente]]*0.2</f>
        <v>-800</v>
      </c>
      <c r="L14" s="25">
        <f>-Table134721[[#This Row],[Valor de la Factura del Cliente]]*0.05</f>
        <v>-200</v>
      </c>
      <c r="M14" s="28"/>
      <c r="N14" s="28"/>
      <c r="O14" s="28"/>
      <c r="P14" s="26">
        <f>SUM(Table134721[[#This Row],[Valor de la Factura del Cliente]:[Avance]])+P13</f>
        <v>15672.9</v>
      </c>
    </row>
    <row r="15" spans="2:16" s="12" customFormat="1" x14ac:dyDescent="0.25">
      <c r="B15" s="47">
        <v>45397</v>
      </c>
      <c r="C15" s="27"/>
      <c r="D15" s="27"/>
      <c r="E15" s="27"/>
      <c r="F15" s="27"/>
      <c r="G15" s="27" t="s">
        <v>538</v>
      </c>
      <c r="H15" s="28">
        <v>4000</v>
      </c>
      <c r="I15" s="28"/>
      <c r="J15" s="25"/>
      <c r="K15" s="25">
        <f>-Table134721[[#This Row],[Valor de la Factura del Cliente]]*0.2</f>
        <v>-800</v>
      </c>
      <c r="L15" s="25">
        <f>-Table134721[[#This Row],[Valor de la Factura del Cliente]]*0.05</f>
        <v>-200</v>
      </c>
      <c r="M15" s="28"/>
      <c r="N15" s="28"/>
      <c r="O15" s="28"/>
      <c r="P15" s="26">
        <f>SUM(Table134721[[#This Row],[Valor de la Factura del Cliente]:[Avance]])+P14</f>
        <v>18672.900000000001</v>
      </c>
    </row>
    <row r="16" spans="2:16" s="12" customFormat="1" ht="36" x14ac:dyDescent="0.25">
      <c r="B16" s="47">
        <v>45751</v>
      </c>
      <c r="C16" s="27"/>
      <c r="D16" s="27"/>
      <c r="E16" s="27"/>
      <c r="F16" s="27"/>
      <c r="G16" s="27" t="s">
        <v>539</v>
      </c>
      <c r="H16" s="28">
        <v>2000</v>
      </c>
      <c r="I16" s="28"/>
      <c r="J16" s="25"/>
      <c r="K16" s="25">
        <f>-Table134721[[#This Row],[Valor de la Factura del Cliente]]*0.2</f>
        <v>-400</v>
      </c>
      <c r="L16" s="25">
        <f>-Table134721[[#This Row],[Valor de la Factura del Cliente]]*0.05</f>
        <v>-100</v>
      </c>
      <c r="M16" s="28"/>
      <c r="N16" s="28"/>
      <c r="O16" s="28"/>
      <c r="P16" s="26">
        <f>SUM(Table134721[[#This Row],[Valor de la Factura del Cliente]:[Avance]])+P15</f>
        <v>20172.900000000001</v>
      </c>
    </row>
    <row r="17" spans="2:16" s="12" customFormat="1" x14ac:dyDescent="0.25">
      <c r="B17" s="47" t="s">
        <v>513</v>
      </c>
      <c r="C17" s="27"/>
      <c r="D17" s="27"/>
      <c r="E17" s="27"/>
      <c r="F17" s="27"/>
      <c r="G17" s="27" t="s">
        <v>540</v>
      </c>
      <c r="H17" s="28">
        <v>0</v>
      </c>
      <c r="I17" s="28"/>
      <c r="J17" s="28">
        <f>-Table134721[[#This Row],[Valor de la Factura del Cliente]]*0.5</f>
        <v>0</v>
      </c>
      <c r="K17" s="28"/>
      <c r="L17" s="25"/>
      <c r="M17" s="28"/>
      <c r="N17" s="28"/>
      <c r="O17" s="28"/>
      <c r="P17" s="26">
        <f>SUM(Table134721[[#This Row],[Valor de la Factura del Cliente]:[Avance]])+P16</f>
        <v>20172.900000000001</v>
      </c>
    </row>
    <row r="18" spans="2:16" s="12" customFormat="1" x14ac:dyDescent="0.25">
      <c r="B18" s="47" t="s">
        <v>514</v>
      </c>
      <c r="C18" s="27"/>
      <c r="D18" s="27"/>
      <c r="E18" s="27"/>
      <c r="F18" s="27"/>
      <c r="G18" s="27" t="s">
        <v>540</v>
      </c>
      <c r="H18" s="28">
        <v>0</v>
      </c>
      <c r="I18" s="28"/>
      <c r="J18" s="28">
        <f>-Table134721[[#This Row],[Valor de la Factura del Cliente]]*0.5</f>
        <v>0</v>
      </c>
      <c r="K18" s="28"/>
      <c r="L18" s="25"/>
      <c r="M18" s="28"/>
      <c r="N18" s="28"/>
      <c r="O18" s="28"/>
      <c r="P18" s="26">
        <f>SUM(Table134721[[#This Row],[Valor de la Factura del Cliente]:[Avance]])+P17</f>
        <v>20172.900000000001</v>
      </c>
    </row>
    <row r="19" spans="2:16" s="12" customFormat="1" x14ac:dyDescent="0.25">
      <c r="B19" s="47" t="s">
        <v>515</v>
      </c>
      <c r="C19" s="27"/>
      <c r="D19" s="27"/>
      <c r="E19" s="27"/>
      <c r="F19" s="27"/>
      <c r="G19" s="27" t="s">
        <v>540</v>
      </c>
      <c r="H19" s="28">
        <v>0.17</v>
      </c>
      <c r="I19" s="28"/>
      <c r="J19" s="28">
        <f>-Table134721[[#This Row],[Valor de la Factura del Cliente]]*0.5</f>
        <v>-8.5000000000000006E-2</v>
      </c>
      <c r="K19" s="28"/>
      <c r="L19" s="25"/>
      <c r="M19" s="28"/>
      <c r="N19" s="28"/>
      <c r="O19" s="28"/>
      <c r="P19" s="26">
        <f>SUM(Table134721[[#This Row],[Valor de la Factura del Cliente]:[Avance]])+P18</f>
        <v>20172.985000000001</v>
      </c>
    </row>
    <row r="20" spans="2:16" s="12" customFormat="1" x14ac:dyDescent="0.25">
      <c r="B20" s="47" t="s">
        <v>516</v>
      </c>
      <c r="C20" s="27"/>
      <c r="D20" s="27"/>
      <c r="E20" s="27"/>
      <c r="F20" s="27"/>
      <c r="G20" s="27" t="s">
        <v>540</v>
      </c>
      <c r="H20" s="28">
        <v>0.76</v>
      </c>
      <c r="I20" s="28"/>
      <c r="J20" s="28">
        <f>-Table134721[[#This Row],[Valor de la Factura del Cliente]]*0.5</f>
        <v>-0.38</v>
      </c>
      <c r="K20" s="28"/>
      <c r="L20" s="25"/>
      <c r="M20" s="28"/>
      <c r="N20" s="28"/>
      <c r="O20" s="28"/>
      <c r="P20" s="26">
        <f>SUM(Table134721[[#This Row],[Valor de la Factura del Cliente]:[Avance]])+P19</f>
        <v>20173.365000000002</v>
      </c>
    </row>
    <row r="21" spans="2:16" s="12" customFormat="1" x14ac:dyDescent="0.25">
      <c r="B21" s="47" t="s">
        <v>517</v>
      </c>
      <c r="C21" s="27"/>
      <c r="D21" s="27"/>
      <c r="E21" s="27"/>
      <c r="F21" s="27"/>
      <c r="G21" s="27" t="s">
        <v>540</v>
      </c>
      <c r="H21" s="28">
        <v>0.41</v>
      </c>
      <c r="I21" s="28"/>
      <c r="J21" s="28">
        <f>-Table134721[[#This Row],[Valor de la Factura del Cliente]]*0.5</f>
        <v>-0.20499999999999999</v>
      </c>
      <c r="K21" s="28"/>
      <c r="L21" s="25"/>
      <c r="M21" s="28"/>
      <c r="N21" s="28"/>
      <c r="O21" s="28"/>
      <c r="P21" s="26">
        <f>SUM(Table134721[[#This Row],[Valor de la Factura del Cliente]:[Avance]])+P20</f>
        <v>20173.570000000003</v>
      </c>
    </row>
    <row r="22" spans="2:16" s="12" customFormat="1" x14ac:dyDescent="0.25">
      <c r="B22" s="47" t="s">
        <v>518</v>
      </c>
      <c r="C22" s="27"/>
      <c r="D22" s="27"/>
      <c r="E22" s="27"/>
      <c r="F22" s="27"/>
      <c r="G22" s="27" t="s">
        <v>540</v>
      </c>
      <c r="H22" s="28">
        <v>0.3</v>
      </c>
      <c r="I22" s="28"/>
      <c r="J22" s="28">
        <f>-Table134721[[#This Row],[Valor de la Factura del Cliente]]*0.5</f>
        <v>-0.15</v>
      </c>
      <c r="K22" s="28"/>
      <c r="L22" s="25"/>
      <c r="M22" s="28"/>
      <c r="N22" s="28"/>
      <c r="O22" s="28"/>
      <c r="P22" s="26">
        <f>SUM(Table134721[[#This Row],[Valor de la Factura del Cliente]:[Avance]])+P21</f>
        <v>20173.720000000005</v>
      </c>
    </row>
    <row r="23" spans="2:16" s="12" customFormat="1" x14ac:dyDescent="0.25">
      <c r="B23" s="47" t="s">
        <v>519</v>
      </c>
      <c r="C23" s="27"/>
      <c r="D23" s="27"/>
      <c r="E23" s="27"/>
      <c r="F23" s="27"/>
      <c r="G23" s="27" t="s">
        <v>540</v>
      </c>
      <c r="H23" s="28">
        <v>27.17</v>
      </c>
      <c r="I23" s="28"/>
      <c r="J23" s="28">
        <f>-Table134721[[#This Row],[Valor de la Factura del Cliente]]*0.5</f>
        <v>-13.585000000000001</v>
      </c>
      <c r="K23" s="28"/>
      <c r="L23" s="25"/>
      <c r="M23" s="28"/>
      <c r="N23" s="28"/>
      <c r="O23" s="28"/>
      <c r="P23" s="26">
        <f>SUM(Table134721[[#This Row],[Valor de la Factura del Cliente]:[Avance]])+P22</f>
        <v>20187.305000000004</v>
      </c>
    </row>
    <row r="24" spans="2:16" s="12" customFormat="1" x14ac:dyDescent="0.25">
      <c r="B24" s="47" t="s">
        <v>520</v>
      </c>
      <c r="C24" s="27"/>
      <c r="D24" s="27"/>
      <c r="E24" s="27"/>
      <c r="F24" s="27"/>
      <c r="G24" s="27" t="s">
        <v>540</v>
      </c>
      <c r="H24" s="28">
        <v>16.18</v>
      </c>
      <c r="I24" s="28"/>
      <c r="J24" s="28">
        <f>-Table134721[[#This Row],[Valor de la Factura del Cliente]]*0.5</f>
        <v>-8.09</v>
      </c>
      <c r="K24" s="28"/>
      <c r="L24" s="25"/>
      <c r="M24" s="28"/>
      <c r="N24" s="28"/>
      <c r="O24" s="28"/>
      <c r="P24" s="26">
        <f>SUM(Table134721[[#This Row],[Valor de la Factura del Cliente]:[Avance]])+P23</f>
        <v>20195.395000000004</v>
      </c>
    </row>
    <row r="25" spans="2:16" s="12" customFormat="1" x14ac:dyDescent="0.25">
      <c r="B25" s="47" t="s">
        <v>521</v>
      </c>
      <c r="C25" s="27"/>
      <c r="D25" s="27"/>
      <c r="E25" s="27"/>
      <c r="F25" s="27"/>
      <c r="G25" s="27" t="s">
        <v>540</v>
      </c>
      <c r="H25" s="28">
        <v>2.95</v>
      </c>
      <c r="I25" s="28"/>
      <c r="J25" s="28">
        <f>-Table134721[[#This Row],[Valor de la Factura del Cliente]]*0.5</f>
        <v>-1.4750000000000001</v>
      </c>
      <c r="K25" s="28"/>
      <c r="L25" s="25"/>
      <c r="M25" s="28"/>
      <c r="N25" s="28"/>
      <c r="O25" s="28"/>
      <c r="P25" s="26">
        <f>SUM(Table134721[[#This Row],[Valor de la Factura del Cliente]:[Avance]])+P24</f>
        <v>20196.870000000003</v>
      </c>
    </row>
    <row r="26" spans="2:16" s="12" customFormat="1" x14ac:dyDescent="0.25">
      <c r="B26" s="47" t="s">
        <v>522</v>
      </c>
      <c r="C26" s="27"/>
      <c r="D26" s="27"/>
      <c r="E26" s="27"/>
      <c r="F26" s="27"/>
      <c r="G26" s="27" t="s">
        <v>540</v>
      </c>
      <c r="H26" s="28">
        <v>6.55</v>
      </c>
      <c r="I26" s="28"/>
      <c r="J26" s="28">
        <f>-Table134721[[#This Row],[Valor de la Factura del Cliente]]*0.5</f>
        <v>-3.2749999999999999</v>
      </c>
      <c r="K26" s="28"/>
      <c r="L26" s="25"/>
      <c r="M26" s="28"/>
      <c r="N26" s="28"/>
      <c r="O26" s="28"/>
      <c r="P26" s="26">
        <f>SUM(Table134721[[#This Row],[Valor de la Factura del Cliente]:[Avance]])+P25</f>
        <v>20200.145000000004</v>
      </c>
    </row>
    <row r="27" spans="2:16" s="12" customFormat="1" x14ac:dyDescent="0.25">
      <c r="B27" s="47" t="s">
        <v>523</v>
      </c>
      <c r="C27" s="27"/>
      <c r="D27" s="27"/>
      <c r="E27" s="27"/>
      <c r="F27" s="27"/>
      <c r="G27" s="27" t="s">
        <v>540</v>
      </c>
      <c r="H27" s="28">
        <v>2.98</v>
      </c>
      <c r="I27" s="28"/>
      <c r="J27" s="28">
        <f>-Table134721[[#This Row],[Valor de la Factura del Cliente]]*0.5</f>
        <v>-1.49</v>
      </c>
      <c r="K27" s="28"/>
      <c r="L27" s="25"/>
      <c r="M27" s="28"/>
      <c r="N27" s="28"/>
      <c r="O27" s="28"/>
      <c r="P27" s="26">
        <f>SUM(Table134721[[#This Row],[Valor de la Factura del Cliente]:[Avance]])+P26</f>
        <v>20201.635000000006</v>
      </c>
    </row>
    <row r="28" spans="2:16" s="12" customFormat="1" x14ac:dyDescent="0.25">
      <c r="B28" s="47" t="s">
        <v>524</v>
      </c>
      <c r="C28" s="27"/>
      <c r="D28" s="27"/>
      <c r="E28" s="27"/>
      <c r="F28" s="27"/>
      <c r="G28" s="27" t="s">
        <v>540</v>
      </c>
      <c r="H28" s="28">
        <v>1.82</v>
      </c>
      <c r="I28" s="28"/>
      <c r="J28" s="28">
        <f>-Table134721[[#This Row],[Valor de la Factura del Cliente]]*0.5</f>
        <v>-0.91</v>
      </c>
      <c r="K28" s="28"/>
      <c r="L28" s="25"/>
      <c r="M28" s="28"/>
      <c r="N28" s="28"/>
      <c r="O28" s="28"/>
      <c r="P28" s="26">
        <f>SUM(Table134721[[#This Row],[Valor de la Factura del Cliente]:[Avance]])+P27</f>
        <v>20202.545000000006</v>
      </c>
    </row>
    <row r="29" spans="2:16" s="12" customFormat="1" x14ac:dyDescent="0.25">
      <c r="B29" s="47" t="s">
        <v>525</v>
      </c>
      <c r="C29" s="27"/>
      <c r="D29" s="27"/>
      <c r="E29" s="27"/>
      <c r="F29" s="27"/>
      <c r="G29" s="27" t="s">
        <v>540</v>
      </c>
      <c r="H29" s="28">
        <v>0.37</v>
      </c>
      <c r="I29" s="28"/>
      <c r="J29" s="28">
        <f>-Table134721[[#This Row],[Valor de la Factura del Cliente]]*0.5</f>
        <v>-0.185</v>
      </c>
      <c r="K29" s="28"/>
      <c r="L29" s="25"/>
      <c r="M29" s="28"/>
      <c r="N29" s="28"/>
      <c r="O29" s="28"/>
      <c r="P29" s="26">
        <f>SUM(Table134721[[#This Row],[Valor de la Factura del Cliente]:[Avance]])+P28</f>
        <v>20202.730000000007</v>
      </c>
    </row>
    <row r="30" spans="2:16" s="12" customFormat="1" x14ac:dyDescent="0.25">
      <c r="B30" s="47" t="s">
        <v>526</v>
      </c>
      <c r="C30" s="27"/>
      <c r="D30" s="27"/>
      <c r="E30" s="27"/>
      <c r="F30" s="27"/>
      <c r="G30" s="27" t="s">
        <v>540</v>
      </c>
      <c r="H30" s="28">
        <v>7.08</v>
      </c>
      <c r="I30" s="28"/>
      <c r="J30" s="28">
        <f>-Table134721[[#This Row],[Valor de la Factura del Cliente]]*0.5</f>
        <v>-3.54</v>
      </c>
      <c r="K30" s="28"/>
      <c r="L30" s="25"/>
      <c r="M30" s="28"/>
      <c r="N30" s="28"/>
      <c r="O30" s="28"/>
      <c r="P30" s="26">
        <f>SUM(Table134721[[#This Row],[Valor de la Factura del Cliente]:[Avance]])+P29</f>
        <v>20206.270000000008</v>
      </c>
    </row>
    <row r="31" spans="2:16" s="12" customFormat="1" x14ac:dyDescent="0.25">
      <c r="B31" s="47" t="s">
        <v>527</v>
      </c>
      <c r="C31" s="27"/>
      <c r="D31" s="27"/>
      <c r="E31" s="27"/>
      <c r="F31" s="27"/>
      <c r="G31" s="27" t="s">
        <v>540</v>
      </c>
      <c r="H31" s="28">
        <v>2.2200000000000002</v>
      </c>
      <c r="I31" s="28"/>
      <c r="J31" s="28">
        <f>-Table134721[[#This Row],[Valor de la Factura del Cliente]]*0.5</f>
        <v>-1.1100000000000001</v>
      </c>
      <c r="K31" s="28"/>
      <c r="L31" s="25"/>
      <c r="M31" s="28"/>
      <c r="N31" s="28"/>
      <c r="O31" s="28"/>
      <c r="P31" s="26">
        <f>SUM(Table134721[[#This Row],[Valor de la Factura del Cliente]:[Avance]])+P30</f>
        <v>20207.380000000008</v>
      </c>
    </row>
    <row r="32" spans="2:16" s="12" customFormat="1" x14ac:dyDescent="0.25">
      <c r="B32" s="47" t="s">
        <v>528</v>
      </c>
      <c r="C32" s="27"/>
      <c r="D32" s="27"/>
      <c r="E32" s="27"/>
      <c r="F32" s="27"/>
      <c r="G32" s="27" t="s">
        <v>540</v>
      </c>
      <c r="H32" s="28">
        <v>1833.87</v>
      </c>
      <c r="I32" s="28"/>
      <c r="J32" s="28">
        <f>-Table134721[[#This Row],[Valor de la Factura del Cliente]]*0.5</f>
        <v>-916.93499999999995</v>
      </c>
      <c r="K32" s="28"/>
      <c r="L32" s="25"/>
      <c r="M32" s="28"/>
      <c r="N32" s="28"/>
      <c r="O32" s="28"/>
      <c r="P32" s="26">
        <f>SUM(Table134721[[#This Row],[Valor de la Factura del Cliente]:[Avance]])+P31</f>
        <v>21124.31500000001</v>
      </c>
    </row>
    <row r="33" spans="2:16" s="12" customFormat="1" x14ac:dyDescent="0.25">
      <c r="B33" s="47" t="s">
        <v>529</v>
      </c>
      <c r="C33" s="27"/>
      <c r="D33" s="27"/>
      <c r="E33" s="27"/>
      <c r="F33" s="27"/>
      <c r="G33" s="27" t="s">
        <v>540</v>
      </c>
      <c r="H33" s="28">
        <v>2094.14</v>
      </c>
      <c r="I33" s="28"/>
      <c r="J33" s="28">
        <f>-Table134721[[#This Row],[Valor de la Factura del Cliente]]*0.5</f>
        <v>-1047.07</v>
      </c>
      <c r="K33" s="28"/>
      <c r="L33" s="25"/>
      <c r="M33" s="28"/>
      <c r="N33" s="28"/>
      <c r="O33" s="28"/>
      <c r="P33" s="26">
        <f>SUM(Table134721[[#This Row],[Valor de la Factura del Cliente]:[Avance]])+P32</f>
        <v>22171.385000000009</v>
      </c>
    </row>
    <row r="34" spans="2:16" s="12" customFormat="1" x14ac:dyDescent="0.25">
      <c r="B34" s="47" t="s">
        <v>530</v>
      </c>
      <c r="C34" s="27"/>
      <c r="D34" s="27"/>
      <c r="E34" s="27"/>
      <c r="F34" s="27"/>
      <c r="G34" s="27" t="s">
        <v>540</v>
      </c>
      <c r="H34" s="28">
        <v>2408.23</v>
      </c>
      <c r="I34" s="28"/>
      <c r="J34" s="28">
        <f>-Table134721[[#This Row],[Valor de la Factura del Cliente]]*0.5</f>
        <v>-1204.115</v>
      </c>
      <c r="K34" s="28"/>
      <c r="L34" s="25"/>
      <c r="M34" s="28"/>
      <c r="N34" s="28"/>
      <c r="O34" s="28"/>
      <c r="P34" s="26">
        <f>SUM(Table134721[[#This Row],[Valor de la Factura del Cliente]:[Avance]])+P33</f>
        <v>23375.500000000011</v>
      </c>
    </row>
    <row r="35" spans="2:16" s="12" customFormat="1" x14ac:dyDescent="0.25">
      <c r="B35" s="47" t="s">
        <v>94</v>
      </c>
      <c r="C35" s="27"/>
      <c r="D35" s="27"/>
      <c r="E35" s="27"/>
      <c r="F35" s="27"/>
      <c r="G35" s="27" t="s">
        <v>540</v>
      </c>
      <c r="H35" s="28">
        <v>2074.6799999999998</v>
      </c>
      <c r="I35" s="28"/>
      <c r="J35" s="28">
        <f>-Table134721[[#This Row],[Valor de la Factura del Cliente]]*0.5</f>
        <v>-1037.3399999999999</v>
      </c>
      <c r="K35" s="28"/>
      <c r="L35" s="25"/>
      <c r="M35" s="28"/>
      <c r="N35" s="28"/>
      <c r="O35" s="28"/>
      <c r="P35" s="26">
        <f>SUM(Table134721[[#This Row],[Valor de la Factura del Cliente]:[Avance]])+P34</f>
        <v>24412.840000000011</v>
      </c>
    </row>
    <row r="36" spans="2:16" s="12" customFormat="1" x14ac:dyDescent="0.25">
      <c r="B36" s="47" t="s">
        <v>531</v>
      </c>
      <c r="C36" s="27"/>
      <c r="D36" s="27"/>
      <c r="E36" s="27"/>
      <c r="F36" s="27"/>
      <c r="G36" s="27" t="s">
        <v>540</v>
      </c>
      <c r="H36" s="28">
        <v>1981.21</v>
      </c>
      <c r="I36" s="28"/>
      <c r="J36" s="28">
        <f>-Table134721[[#This Row],[Valor de la Factura del Cliente]]*0.5</f>
        <v>-990.60500000000002</v>
      </c>
      <c r="K36" s="28"/>
      <c r="L36" s="25"/>
      <c r="M36" s="28"/>
      <c r="N36" s="28"/>
      <c r="O36" s="28"/>
      <c r="P36" s="26">
        <f>SUM(Table134721[[#This Row],[Valor de la Factura del Cliente]:[Avance]])+P35</f>
        <v>25403.445000000011</v>
      </c>
    </row>
    <row r="37" spans="2:16" s="12" customFormat="1" x14ac:dyDescent="0.25">
      <c r="B37" s="47" t="s">
        <v>513</v>
      </c>
      <c r="C37" s="27"/>
      <c r="D37" s="27"/>
      <c r="E37" s="27"/>
      <c r="F37" s="27"/>
      <c r="G37" s="27" t="s">
        <v>541</v>
      </c>
      <c r="H37" s="28">
        <v>0.11</v>
      </c>
      <c r="I37" s="28"/>
      <c r="J37" s="28"/>
      <c r="K37" s="28">
        <f>-Table134721[[#This Row],[Valor de la Factura del Cliente]]*0.2</f>
        <v>-2.2000000000000002E-2</v>
      </c>
      <c r="L37" s="28">
        <f>-Table134721[[#This Row],[Valor de la Factura del Cliente]]*0.05</f>
        <v>-5.5000000000000005E-3</v>
      </c>
      <c r="M37" s="28"/>
      <c r="N37" s="28"/>
      <c r="O37" s="28"/>
      <c r="P37" s="26">
        <f>SUM(Table134721[[#This Row],[Valor de la Factura del Cliente]:[Avance]])+P36</f>
        <v>25403.527500000011</v>
      </c>
    </row>
    <row r="38" spans="2:16" s="12" customFormat="1" x14ac:dyDescent="0.25">
      <c r="B38" s="47" t="s">
        <v>514</v>
      </c>
      <c r="C38" s="27"/>
      <c r="D38" s="27"/>
      <c r="E38" s="27"/>
      <c r="F38" s="27"/>
      <c r="G38" s="27" t="s">
        <v>541</v>
      </c>
      <c r="H38" s="28">
        <v>51.13</v>
      </c>
      <c r="I38" s="28"/>
      <c r="J38" s="28"/>
      <c r="K38" s="28">
        <f>-Table134721[[#This Row],[Valor de la Factura del Cliente]]*0.2</f>
        <v>-10.226000000000001</v>
      </c>
      <c r="L38" s="28">
        <f>-Table134721[[#This Row],[Valor de la Factura del Cliente]]*0.05</f>
        <v>-2.5565000000000002</v>
      </c>
      <c r="M38" s="28"/>
      <c r="N38" s="28"/>
      <c r="O38" s="28"/>
      <c r="P38" s="26">
        <f>SUM(Table134721[[#This Row],[Valor de la Factura del Cliente]:[Avance]])+P37</f>
        <v>25441.875000000011</v>
      </c>
    </row>
    <row r="39" spans="2:16" s="12" customFormat="1" x14ac:dyDescent="0.25">
      <c r="B39" s="47" t="s">
        <v>515</v>
      </c>
      <c r="C39" s="27"/>
      <c r="D39" s="27"/>
      <c r="E39" s="27"/>
      <c r="F39" s="27"/>
      <c r="G39" s="27" t="s">
        <v>541</v>
      </c>
      <c r="H39" s="28">
        <v>611.61999999999989</v>
      </c>
      <c r="I39" s="28"/>
      <c r="J39" s="28"/>
      <c r="K39" s="28">
        <f>-Table134721[[#This Row],[Valor de la Factura del Cliente]]*0.2</f>
        <v>-122.32399999999998</v>
      </c>
      <c r="L39" s="28">
        <f>-Table134721[[#This Row],[Valor de la Factura del Cliente]]*0.05</f>
        <v>-30.580999999999996</v>
      </c>
      <c r="M39" s="28"/>
      <c r="N39" s="28"/>
      <c r="O39" s="28"/>
      <c r="P39" s="26">
        <f>SUM(Table134721[[#This Row],[Valor de la Factura del Cliente]:[Avance]])+P38</f>
        <v>25900.590000000011</v>
      </c>
    </row>
    <row r="40" spans="2:16" s="12" customFormat="1" x14ac:dyDescent="0.25">
      <c r="B40" s="47" t="s">
        <v>516</v>
      </c>
      <c r="C40" s="27"/>
      <c r="D40" s="27"/>
      <c r="E40" s="27"/>
      <c r="F40" s="27"/>
      <c r="G40" s="27" t="s">
        <v>541</v>
      </c>
      <c r="H40" s="28">
        <v>201.45</v>
      </c>
      <c r="I40" s="28"/>
      <c r="J40" s="28"/>
      <c r="K40" s="28">
        <f>-Table134721[[#This Row],[Valor de la Factura del Cliente]]*0.2</f>
        <v>-40.29</v>
      </c>
      <c r="L40" s="28">
        <f>-Table134721[[#This Row],[Valor de la Factura del Cliente]]*0.05</f>
        <v>-10.0725</v>
      </c>
      <c r="M40" s="28"/>
      <c r="N40" s="28"/>
      <c r="O40" s="28"/>
      <c r="P40" s="26">
        <f>SUM(Table134721[[#This Row],[Valor de la Factura del Cliente]:[Avance]])+P39</f>
        <v>26051.677500000013</v>
      </c>
    </row>
    <row r="41" spans="2:16" s="12" customFormat="1" x14ac:dyDescent="0.25">
      <c r="B41" s="47" t="s">
        <v>517</v>
      </c>
      <c r="C41" s="27"/>
      <c r="D41" s="27"/>
      <c r="E41" s="27"/>
      <c r="F41" s="27"/>
      <c r="G41" s="27" t="s">
        <v>541</v>
      </c>
      <c r="H41" s="28">
        <v>206</v>
      </c>
      <c r="I41" s="28"/>
      <c r="J41" s="28"/>
      <c r="K41" s="28">
        <f>-Table134721[[#This Row],[Valor de la Factura del Cliente]]*0.2</f>
        <v>-41.2</v>
      </c>
      <c r="L41" s="28">
        <f>-Table134721[[#This Row],[Valor de la Factura del Cliente]]*0.05</f>
        <v>-10.3</v>
      </c>
      <c r="M41" s="28"/>
      <c r="N41" s="28"/>
      <c r="O41" s="28"/>
      <c r="P41" s="26">
        <f>SUM(Table134721[[#This Row],[Valor de la Factura del Cliente]:[Avance]])+P40</f>
        <v>26206.177500000013</v>
      </c>
    </row>
    <row r="42" spans="2:16" s="12" customFormat="1" x14ac:dyDescent="0.25">
      <c r="B42" s="48" t="s">
        <v>518</v>
      </c>
      <c r="C42" s="30"/>
      <c r="D42" s="30"/>
      <c r="E42" s="30"/>
      <c r="F42" s="30"/>
      <c r="G42" s="30" t="s">
        <v>541</v>
      </c>
      <c r="H42" s="31">
        <v>322.21000000000004</v>
      </c>
      <c r="I42" s="31"/>
      <c r="J42" s="31"/>
      <c r="K42" s="28">
        <f>-Table134721[[#This Row],[Valor de la Factura del Cliente]]*0.2</f>
        <v>-64.442000000000007</v>
      </c>
      <c r="L42" s="28">
        <f>-Table134721[[#This Row],[Valor de la Factura del Cliente]]*0.05</f>
        <v>-16.110500000000002</v>
      </c>
      <c r="M42" s="31"/>
      <c r="N42" s="31"/>
      <c r="O42" s="31"/>
      <c r="P42" s="26">
        <f>SUM(Table134721[[#This Row],[Valor de la Factura del Cliente]:[Avance]])+P41</f>
        <v>26447.835000000014</v>
      </c>
    </row>
    <row r="43" spans="2:16" s="33" customFormat="1" x14ac:dyDescent="0.25">
      <c r="B43" s="47" t="s">
        <v>519</v>
      </c>
      <c r="C43" s="27"/>
      <c r="D43" s="27"/>
      <c r="E43" s="27"/>
      <c r="F43" s="27"/>
      <c r="G43" s="27" t="s">
        <v>541</v>
      </c>
      <c r="H43" s="28">
        <v>660.16</v>
      </c>
      <c r="I43" s="28"/>
      <c r="J43" s="28"/>
      <c r="K43" s="28">
        <f>-Table134721[[#This Row],[Valor de la Factura del Cliente]]*0.2</f>
        <v>-132.03200000000001</v>
      </c>
      <c r="L43" s="28">
        <f>-Table134721[[#This Row],[Valor de la Factura del Cliente]]*0.05</f>
        <v>-33.008000000000003</v>
      </c>
      <c r="M43" s="28"/>
      <c r="N43" s="28"/>
      <c r="O43" s="28"/>
      <c r="P43" s="26">
        <f>SUM(Table134721[[#This Row],[Valor de la Factura del Cliente]:[Avance]])+P42</f>
        <v>26942.955000000013</v>
      </c>
    </row>
    <row r="44" spans="2:16" s="12" customFormat="1" x14ac:dyDescent="0.25">
      <c r="B44" s="47" t="s">
        <v>520</v>
      </c>
      <c r="C44" s="27"/>
      <c r="D44" s="27"/>
      <c r="E44" s="27"/>
      <c r="F44" s="27"/>
      <c r="G44" s="27" t="s">
        <v>541</v>
      </c>
      <c r="H44" s="28">
        <v>255.32</v>
      </c>
      <c r="I44" s="28"/>
      <c r="J44" s="28"/>
      <c r="K44" s="28">
        <f>-Table134721[[#This Row],[Valor de la Factura del Cliente]]*0.2</f>
        <v>-51.064</v>
      </c>
      <c r="L44" s="28">
        <f>-Table134721[[#This Row],[Valor de la Factura del Cliente]]*0.05</f>
        <v>-12.766</v>
      </c>
      <c r="M44" s="28"/>
      <c r="N44" s="28"/>
      <c r="O44" s="28"/>
      <c r="P44" s="26">
        <f>SUM(Table134721[[#This Row],[Valor de la Factura del Cliente]:[Avance]])+P43</f>
        <v>27134.445000000014</v>
      </c>
    </row>
    <row r="45" spans="2:16" s="12" customFormat="1" x14ac:dyDescent="0.25">
      <c r="B45" s="47" t="s">
        <v>521</v>
      </c>
      <c r="C45" s="27"/>
      <c r="D45" s="27"/>
      <c r="E45" s="27"/>
      <c r="F45" s="27"/>
      <c r="G45" s="27" t="s">
        <v>541</v>
      </c>
      <c r="H45" s="28">
        <v>210.92</v>
      </c>
      <c r="I45" s="28"/>
      <c r="J45" s="28"/>
      <c r="K45" s="28">
        <f>-Table134721[[#This Row],[Valor de la Factura del Cliente]]*0.2</f>
        <v>-42.183999999999997</v>
      </c>
      <c r="L45" s="28">
        <f>-Table134721[[#This Row],[Valor de la Factura del Cliente]]*0.05</f>
        <v>-10.545999999999999</v>
      </c>
      <c r="M45" s="28"/>
      <c r="N45" s="28"/>
      <c r="O45" s="28"/>
      <c r="P45" s="26">
        <f>SUM(Table134721[[#This Row],[Valor de la Factura del Cliente]:[Avance]])+P44</f>
        <v>27292.635000000013</v>
      </c>
    </row>
    <row r="46" spans="2:16" s="12" customFormat="1" x14ac:dyDescent="0.25">
      <c r="B46" s="47" t="s">
        <v>522</v>
      </c>
      <c r="C46" s="27"/>
      <c r="D46" s="27"/>
      <c r="E46" s="27"/>
      <c r="F46" s="27"/>
      <c r="G46" s="27" t="s">
        <v>541</v>
      </c>
      <c r="H46" s="28">
        <v>153.43</v>
      </c>
      <c r="I46" s="28"/>
      <c r="J46" s="28"/>
      <c r="K46" s="28">
        <f>-Table134721[[#This Row],[Valor de la Factura del Cliente]]*0.2</f>
        <v>-30.686000000000003</v>
      </c>
      <c r="L46" s="28">
        <f>-Table134721[[#This Row],[Valor de la Factura del Cliente]]*0.05</f>
        <v>-7.6715000000000009</v>
      </c>
      <c r="M46" s="28"/>
      <c r="N46" s="28"/>
      <c r="O46" s="28"/>
      <c r="P46" s="26">
        <f>SUM(Table134721[[#This Row],[Valor de la Factura del Cliente]:[Avance]])+P45</f>
        <v>27407.707500000011</v>
      </c>
    </row>
    <row r="47" spans="2:16" s="12" customFormat="1" x14ac:dyDescent="0.25">
      <c r="B47" s="47" t="s">
        <v>523</v>
      </c>
      <c r="C47" s="27"/>
      <c r="D47" s="27"/>
      <c r="E47" s="27"/>
      <c r="F47" s="27"/>
      <c r="G47" s="27" t="s">
        <v>541</v>
      </c>
      <c r="H47" s="28">
        <v>147.06</v>
      </c>
      <c r="I47" s="28"/>
      <c r="J47" s="28"/>
      <c r="K47" s="28">
        <f>-Table134721[[#This Row],[Valor de la Factura del Cliente]]*0.2</f>
        <v>-29.412000000000003</v>
      </c>
      <c r="L47" s="28">
        <f>-Table134721[[#This Row],[Valor de la Factura del Cliente]]*0.05</f>
        <v>-7.3530000000000006</v>
      </c>
      <c r="M47" s="28"/>
      <c r="N47" s="28"/>
      <c r="O47" s="28"/>
      <c r="P47" s="26">
        <f>SUM(Table134721[[#This Row],[Valor de la Factura del Cliente]:[Avance]])+P46</f>
        <v>27518.00250000001</v>
      </c>
    </row>
    <row r="48" spans="2:16" s="12" customFormat="1" x14ac:dyDescent="0.25">
      <c r="B48" s="47" t="s">
        <v>524</v>
      </c>
      <c r="C48" s="27"/>
      <c r="D48" s="27"/>
      <c r="E48" s="27"/>
      <c r="F48" s="27"/>
      <c r="G48" s="27" t="s">
        <v>541</v>
      </c>
      <c r="H48" s="28">
        <v>708.79</v>
      </c>
      <c r="I48" s="28"/>
      <c r="J48" s="28"/>
      <c r="K48" s="28">
        <f>-Table134721[[#This Row],[Valor de la Factura del Cliente]]*0.2</f>
        <v>-141.75800000000001</v>
      </c>
      <c r="L48" s="28">
        <f>-Table134721[[#This Row],[Valor de la Factura del Cliente]]*0.05</f>
        <v>-35.439500000000002</v>
      </c>
      <c r="M48" s="28"/>
      <c r="N48" s="28"/>
      <c r="O48" s="28"/>
      <c r="P48" s="26">
        <f>SUM(Table134721[[#This Row],[Valor de la Factura del Cliente]:[Avance]])+P47</f>
        <v>28049.595000000008</v>
      </c>
    </row>
    <row r="49" spans="2:16" s="12" customFormat="1" x14ac:dyDescent="0.25">
      <c r="B49" s="47" t="s">
        <v>525</v>
      </c>
      <c r="C49" s="27"/>
      <c r="D49" s="27"/>
      <c r="E49" s="27"/>
      <c r="F49" s="27"/>
      <c r="G49" s="27" t="s">
        <v>541</v>
      </c>
      <c r="H49" s="28">
        <v>250.97</v>
      </c>
      <c r="I49" s="28"/>
      <c r="J49" s="28"/>
      <c r="K49" s="28">
        <f>-Table134721[[#This Row],[Valor de la Factura del Cliente]]*0.2</f>
        <v>-50.194000000000003</v>
      </c>
      <c r="L49" s="28">
        <f>-Table134721[[#This Row],[Valor de la Factura del Cliente]]*0.05</f>
        <v>-12.548500000000001</v>
      </c>
      <c r="M49" s="28"/>
      <c r="N49" s="28"/>
      <c r="O49" s="28"/>
      <c r="P49" s="26">
        <f>SUM(Table134721[[#This Row],[Valor de la Factura del Cliente]:[Avance]])+P48</f>
        <v>28237.822500000009</v>
      </c>
    </row>
    <row r="50" spans="2:16" s="12" customFormat="1" x14ac:dyDescent="0.25">
      <c r="B50" s="47" t="s">
        <v>526</v>
      </c>
      <c r="C50" s="27"/>
      <c r="D50" s="27"/>
      <c r="E50" s="27"/>
      <c r="F50" s="27"/>
      <c r="G50" s="27" t="s">
        <v>541</v>
      </c>
      <c r="H50" s="28">
        <v>2393.75</v>
      </c>
      <c r="I50" s="28"/>
      <c r="J50" s="28"/>
      <c r="K50" s="28">
        <f>-Table134721[[#This Row],[Valor de la Factura del Cliente]]*0.2</f>
        <v>-478.75</v>
      </c>
      <c r="L50" s="28">
        <f>-Table134721[[#This Row],[Valor de la Factura del Cliente]]*0.05</f>
        <v>-119.6875</v>
      </c>
      <c r="M50" s="28"/>
      <c r="N50" s="28"/>
      <c r="O50" s="28"/>
      <c r="P50" s="26">
        <f>SUM(Table134721[[#This Row],[Valor de la Factura del Cliente]:[Avance]])+P49</f>
        <v>30033.135000000009</v>
      </c>
    </row>
    <row r="51" spans="2:16" s="12" customFormat="1" x14ac:dyDescent="0.25">
      <c r="B51" s="47" t="s">
        <v>527</v>
      </c>
      <c r="C51" s="27"/>
      <c r="D51" s="27"/>
      <c r="E51" s="27"/>
      <c r="F51" s="27"/>
      <c r="G51" s="27" t="s">
        <v>541</v>
      </c>
      <c r="H51" s="28">
        <v>3446.38</v>
      </c>
      <c r="I51" s="28"/>
      <c r="J51" s="28"/>
      <c r="K51" s="28">
        <f>-Table134721[[#This Row],[Valor de la Factura del Cliente]]*0.2</f>
        <v>-689.27600000000007</v>
      </c>
      <c r="L51" s="28">
        <f>-Table134721[[#This Row],[Valor de la Factura del Cliente]]*0.05</f>
        <v>-172.31900000000002</v>
      </c>
      <c r="M51" s="28"/>
      <c r="N51" s="28"/>
      <c r="O51" s="28"/>
      <c r="P51" s="26">
        <f>SUM(Table134721[[#This Row],[Valor de la Factura del Cliente]:[Avance]])+P50</f>
        <v>32617.920000000009</v>
      </c>
    </row>
    <row r="52" spans="2:16" s="12" customFormat="1" x14ac:dyDescent="0.25">
      <c r="B52" s="47" t="s">
        <v>528</v>
      </c>
      <c r="C52" s="27"/>
      <c r="D52" s="27"/>
      <c r="E52" s="27"/>
      <c r="F52" s="27"/>
      <c r="G52" s="27" t="s">
        <v>541</v>
      </c>
      <c r="H52" s="28">
        <v>6276.4</v>
      </c>
      <c r="I52" s="28"/>
      <c r="J52" s="28"/>
      <c r="K52" s="28">
        <f>-Table134721[[#This Row],[Valor de la Factura del Cliente]]*0.2</f>
        <v>-1255.28</v>
      </c>
      <c r="L52" s="28">
        <f>-Table134721[[#This Row],[Valor de la Factura del Cliente]]*0.05</f>
        <v>-313.82</v>
      </c>
      <c r="M52" s="28"/>
      <c r="N52" s="28"/>
      <c r="O52" s="28"/>
      <c r="P52" s="26">
        <f>SUM(Table134721[[#This Row],[Valor de la Factura del Cliente]:[Avance]])+P51</f>
        <v>37325.220000000008</v>
      </c>
    </row>
    <row r="53" spans="2:16" s="12" customFormat="1" x14ac:dyDescent="0.25">
      <c r="B53" s="47" t="s">
        <v>529</v>
      </c>
      <c r="C53" s="27"/>
      <c r="D53" s="27"/>
      <c r="E53" s="27"/>
      <c r="F53" s="27"/>
      <c r="G53" s="27" t="s">
        <v>541</v>
      </c>
      <c r="H53" s="28">
        <v>1880.68</v>
      </c>
      <c r="I53" s="28"/>
      <c r="J53" s="28"/>
      <c r="K53" s="28">
        <f>-Table134721[[#This Row],[Valor de la Factura del Cliente]]*0.2</f>
        <v>-376.13600000000002</v>
      </c>
      <c r="L53" s="28">
        <f>-Table134721[[#This Row],[Valor de la Factura del Cliente]]*0.05</f>
        <v>-94.034000000000006</v>
      </c>
      <c r="M53" s="28"/>
      <c r="N53" s="28"/>
      <c r="O53" s="28"/>
      <c r="P53" s="26">
        <f>SUM(Table134721[[#This Row],[Valor de la Factura del Cliente]:[Avance]])+P52</f>
        <v>38735.73000000001</v>
      </c>
    </row>
    <row r="54" spans="2:16" s="12" customFormat="1" x14ac:dyDescent="0.25">
      <c r="B54" s="47" t="s">
        <v>530</v>
      </c>
      <c r="C54" s="27"/>
      <c r="D54" s="27"/>
      <c r="E54" s="27"/>
      <c r="F54" s="27"/>
      <c r="G54" s="27" t="s">
        <v>541</v>
      </c>
      <c r="H54" s="28">
        <v>11928.08</v>
      </c>
      <c r="I54" s="28"/>
      <c r="J54" s="28"/>
      <c r="K54" s="28">
        <f>-Table134721[[#This Row],[Valor de la Factura del Cliente]]*0.2</f>
        <v>-2385.616</v>
      </c>
      <c r="L54" s="28">
        <f>-Table134721[[#This Row],[Valor de la Factura del Cliente]]*0.05</f>
        <v>-596.404</v>
      </c>
      <c r="M54" s="28"/>
      <c r="N54" s="28"/>
      <c r="O54" s="28"/>
      <c r="P54" s="26">
        <f>SUM(Table134721[[#This Row],[Valor de la Factura del Cliente]:[Avance]])+P53</f>
        <v>47681.790000000008</v>
      </c>
    </row>
    <row r="55" spans="2:16" s="12" customFormat="1" x14ac:dyDescent="0.25">
      <c r="B55" s="47" t="s">
        <v>94</v>
      </c>
      <c r="C55" s="27"/>
      <c r="D55" s="27"/>
      <c r="E55" s="27"/>
      <c r="F55" s="27"/>
      <c r="G55" s="27" t="s">
        <v>541</v>
      </c>
      <c r="H55" s="28">
        <v>3421.26</v>
      </c>
      <c r="I55" s="28"/>
      <c r="J55" s="28"/>
      <c r="K55" s="28">
        <f>-Table134721[[#This Row],[Valor de la Factura del Cliente]]*0.2</f>
        <v>-684.25200000000007</v>
      </c>
      <c r="L55" s="28">
        <f>-Table134721[[#This Row],[Valor de la Factura del Cliente]]*0.05</f>
        <v>-171.06300000000002</v>
      </c>
      <c r="M55" s="28"/>
      <c r="N55" s="28"/>
      <c r="O55" s="28"/>
      <c r="P55" s="26">
        <f>SUM(Table134721[[#This Row],[Valor de la Factura del Cliente]:[Avance]])+P54</f>
        <v>50247.735000000008</v>
      </c>
    </row>
    <row r="56" spans="2:16" s="12" customFormat="1" x14ac:dyDescent="0.25">
      <c r="B56" s="47" t="s">
        <v>531</v>
      </c>
      <c r="C56" s="27"/>
      <c r="D56" s="27"/>
      <c r="E56" s="27"/>
      <c r="F56" s="27"/>
      <c r="G56" s="27" t="s">
        <v>541</v>
      </c>
      <c r="H56" s="28">
        <v>11801.73</v>
      </c>
      <c r="I56" s="28"/>
      <c r="J56" s="28"/>
      <c r="K56" s="28">
        <f>-Table134721[[#This Row],[Valor de la Factura del Cliente]]*0.2</f>
        <v>-2360.346</v>
      </c>
      <c r="L56" s="28">
        <f>-Table134721[[#This Row],[Valor de la Factura del Cliente]]*0.05</f>
        <v>-590.0865</v>
      </c>
      <c r="M56" s="28"/>
      <c r="N56" s="28"/>
      <c r="O56" s="28"/>
      <c r="P56" s="26">
        <f>SUM(Table134721[[#This Row],[Valor de la Factura del Cliente]:[Avance]])+P55</f>
        <v>59099.032500000008</v>
      </c>
    </row>
    <row r="57" spans="2:16" s="12" customFormat="1" ht="36" x14ac:dyDescent="0.25">
      <c r="B57" s="47">
        <v>44309</v>
      </c>
      <c r="C57" s="27"/>
      <c r="D57" s="27"/>
      <c r="E57" s="27"/>
      <c r="F57" s="27"/>
      <c r="G57" s="27" t="s">
        <v>542</v>
      </c>
      <c r="H57" s="28"/>
      <c r="I57" s="28"/>
      <c r="J57" s="28"/>
      <c r="K57" s="28"/>
      <c r="L57" s="28"/>
      <c r="M57" s="28"/>
      <c r="N57" s="28">
        <v>-3629.7</v>
      </c>
      <c r="O57" s="28"/>
      <c r="P57" s="26">
        <f>SUM(Table134721[[#This Row],[Valor de la Factura del Cliente]:[Avance]])+P56</f>
        <v>55469.332500000011</v>
      </c>
    </row>
    <row r="58" spans="2:16" s="12" customFormat="1" x14ac:dyDescent="0.25">
      <c r="B58" s="47">
        <v>44127</v>
      </c>
      <c r="C58" s="27"/>
      <c r="D58" s="27"/>
      <c r="E58" s="27"/>
      <c r="F58" s="27"/>
      <c r="G58" s="27" t="s">
        <v>534</v>
      </c>
      <c r="H58" s="28"/>
      <c r="I58" s="28"/>
      <c r="J58" s="28"/>
      <c r="K58" s="28"/>
      <c r="L58" s="28"/>
      <c r="M58" s="28"/>
      <c r="N58" s="28">
        <v>-2250</v>
      </c>
      <c r="O58" s="28"/>
      <c r="P58" s="26">
        <f>SUM(Table134721[[#This Row],[Valor de la Factura del Cliente]:[Avance]])+P57</f>
        <v>53219.332500000011</v>
      </c>
    </row>
    <row r="59" spans="2:16" s="12" customFormat="1" ht="36" x14ac:dyDescent="0.25">
      <c r="B59" s="47">
        <v>43872</v>
      </c>
      <c r="C59" s="27"/>
      <c r="D59" s="27"/>
      <c r="E59" s="27"/>
      <c r="F59" s="27"/>
      <c r="G59" s="27" t="s">
        <v>535</v>
      </c>
      <c r="H59" s="28"/>
      <c r="I59" s="28"/>
      <c r="J59" s="28"/>
      <c r="K59" s="28"/>
      <c r="L59" s="28"/>
      <c r="M59" s="28"/>
      <c r="N59" s="28">
        <v>-1500</v>
      </c>
      <c r="O59" s="28"/>
      <c r="P59" s="26">
        <f>SUM(Table134721[[#This Row],[Valor de la Factura del Cliente]:[Avance]])+P58</f>
        <v>51719.332500000011</v>
      </c>
    </row>
    <row r="60" spans="2:16" s="12" customFormat="1" ht="36" x14ac:dyDescent="0.25">
      <c r="B60" s="47">
        <v>44055</v>
      </c>
      <c r="C60" s="27"/>
      <c r="D60" s="27"/>
      <c r="E60" s="27"/>
      <c r="F60" s="27"/>
      <c r="G60" s="27" t="s">
        <v>536</v>
      </c>
      <c r="H60" s="28"/>
      <c r="I60" s="28"/>
      <c r="J60" s="28"/>
      <c r="K60" s="28"/>
      <c r="L60" s="28"/>
      <c r="M60" s="28"/>
      <c r="N60" s="28">
        <v>-1875</v>
      </c>
      <c r="O60" s="28"/>
      <c r="P60" s="26">
        <f>SUM(Table134721[[#This Row],[Valor de la Factura del Cliente]:[Avance]])+P59</f>
        <v>49844.332500000011</v>
      </c>
    </row>
    <row r="61" spans="2:16" s="12" customFormat="1" ht="36" x14ac:dyDescent="0.25">
      <c r="B61" s="47">
        <v>44049</v>
      </c>
      <c r="C61" s="27"/>
      <c r="D61" s="27"/>
      <c r="E61" s="27"/>
      <c r="F61" s="27"/>
      <c r="G61" s="27" t="s">
        <v>537</v>
      </c>
      <c r="H61" s="28"/>
      <c r="I61" s="28"/>
      <c r="J61" s="28"/>
      <c r="K61" s="28"/>
      <c r="L61" s="28"/>
      <c r="M61" s="28"/>
      <c r="N61" s="28">
        <v>-1600</v>
      </c>
      <c r="O61" s="28"/>
      <c r="P61" s="26">
        <f>SUM(Table134721[[#This Row],[Valor de la Factura del Cliente]:[Avance]])+P60</f>
        <v>48244.332500000011</v>
      </c>
    </row>
    <row r="62" spans="2:16" x14ac:dyDescent="0.45">
      <c r="B62" s="47">
        <v>44519</v>
      </c>
      <c r="C62" s="43"/>
      <c r="D62" s="43"/>
      <c r="E62" s="43"/>
      <c r="F62" s="43"/>
      <c r="G62" s="43" t="s">
        <v>543</v>
      </c>
      <c r="H62" s="45"/>
      <c r="I62" s="45"/>
      <c r="J62" s="45"/>
      <c r="K62" s="45"/>
      <c r="L62" s="45"/>
      <c r="M62" s="45"/>
      <c r="N62" s="45"/>
      <c r="O62" s="45">
        <v>-559</v>
      </c>
      <c r="P62" s="26">
        <f>SUM(Table134721[[#This Row],[Valor de la Factura del Cliente]:[Avance]])+P61</f>
        <v>47685.332500000011</v>
      </c>
    </row>
    <row r="63" spans="2:16" x14ac:dyDescent="0.45">
      <c r="B63" s="47">
        <v>44118</v>
      </c>
      <c r="C63" s="43"/>
      <c r="D63" s="43"/>
      <c r="E63" s="43"/>
      <c r="F63" s="43"/>
      <c r="G63" s="43" t="s">
        <v>543</v>
      </c>
      <c r="H63" s="45"/>
      <c r="I63" s="45"/>
      <c r="J63" s="45"/>
      <c r="K63" s="45"/>
      <c r="L63" s="45"/>
      <c r="M63" s="45"/>
      <c r="N63" s="45"/>
      <c r="O63" s="45">
        <v>-1400</v>
      </c>
      <c r="P63" s="26">
        <f>SUM(Table134721[[#This Row],[Valor de la Factura del Cliente]:[Avance]])+P62</f>
        <v>46285.332500000011</v>
      </c>
    </row>
    <row r="64" spans="2:16" x14ac:dyDescent="0.45">
      <c r="B64" s="47">
        <v>43942</v>
      </c>
      <c r="C64" s="43"/>
      <c r="D64" s="43"/>
      <c r="E64" s="43"/>
      <c r="F64" s="43"/>
      <c r="G64" s="43" t="s">
        <v>543</v>
      </c>
      <c r="H64" s="45"/>
      <c r="I64" s="45"/>
      <c r="J64" s="45"/>
      <c r="K64" s="45"/>
      <c r="L64" s="45"/>
      <c r="M64" s="45"/>
      <c r="N64" s="45"/>
      <c r="O64" s="45">
        <v>-1000</v>
      </c>
      <c r="P64" s="26">
        <f>SUM(Table134721[[#This Row],[Valor de la Factura del Cliente]:[Avance]])+P63</f>
        <v>45285.332500000011</v>
      </c>
    </row>
    <row r="65" spans="2:16" x14ac:dyDescent="0.45">
      <c r="B65" s="47">
        <v>43936</v>
      </c>
      <c r="C65" s="43"/>
      <c r="D65" s="43"/>
      <c r="E65" s="43"/>
      <c r="F65" s="43"/>
      <c r="G65" s="43" t="s">
        <v>543</v>
      </c>
      <c r="H65" s="45"/>
      <c r="I65" s="45"/>
      <c r="J65" s="45"/>
      <c r="K65" s="45"/>
      <c r="L65" s="45"/>
      <c r="M65" s="45"/>
      <c r="N65" s="45"/>
      <c r="O65" s="45">
        <v>-1000</v>
      </c>
      <c r="P65" s="26">
        <f>SUM(Table134721[[#This Row],[Valor de la Factura del Cliente]:[Avance]])+P64</f>
        <v>44285.332500000011</v>
      </c>
    </row>
    <row r="66" spans="2:16" x14ac:dyDescent="0.45">
      <c r="B66" s="47">
        <v>44013</v>
      </c>
      <c r="C66" s="43"/>
      <c r="D66" s="43"/>
      <c r="E66" s="43"/>
      <c r="F66" s="43"/>
      <c r="G66" s="43" t="s">
        <v>544</v>
      </c>
      <c r="H66" s="45"/>
      <c r="I66" s="45"/>
      <c r="J66" s="45"/>
      <c r="K66" s="45"/>
      <c r="L66" s="45"/>
      <c r="M66" s="45"/>
      <c r="N66" s="45">
        <v>-100</v>
      </c>
      <c r="O66" s="45"/>
      <c r="P66" s="26">
        <f>SUM(Table134721[[#This Row],[Valor de la Factura del Cliente]:[Avance]])+P65</f>
        <v>44185.332500000011</v>
      </c>
    </row>
    <row r="67" spans="2:16" x14ac:dyDescent="0.45">
      <c r="B67" s="47">
        <v>44722</v>
      </c>
      <c r="C67" s="43"/>
      <c r="D67" s="43"/>
      <c r="E67" s="43"/>
      <c r="F67" s="43"/>
      <c r="G67" s="43" t="s">
        <v>545</v>
      </c>
      <c r="H67" s="45"/>
      <c r="I67" s="45"/>
      <c r="J67" s="45"/>
      <c r="K67" s="45"/>
      <c r="L67" s="45"/>
      <c r="M67" s="45"/>
      <c r="N67" s="45">
        <v>-1959.94</v>
      </c>
      <c r="O67" s="45"/>
      <c r="P67" s="26">
        <f>SUM(Table134721[[#This Row],[Valor de la Factura del Cliente]:[Avance]])+P66</f>
        <v>42225.392500000009</v>
      </c>
    </row>
    <row r="68" spans="2:16" x14ac:dyDescent="0.45">
      <c r="B68" s="47">
        <v>45092</v>
      </c>
      <c r="C68" s="43"/>
      <c r="D68" s="43"/>
      <c r="E68" s="43"/>
      <c r="F68" s="43"/>
      <c r="G68" s="43" t="s">
        <v>543</v>
      </c>
      <c r="H68" s="45"/>
      <c r="I68" s="45"/>
      <c r="J68" s="45"/>
      <c r="K68" s="45"/>
      <c r="L68" s="45"/>
      <c r="M68" s="45"/>
      <c r="N68" s="45"/>
      <c r="O68" s="45">
        <v>-1734.76</v>
      </c>
      <c r="P68" s="26">
        <f>SUM(Table134721[[#This Row],[Valor de la Factura del Cliente]:[Avance]])+P67</f>
        <v>40490.632500000007</v>
      </c>
    </row>
    <row r="69" spans="2:16" x14ac:dyDescent="0.45">
      <c r="B69" s="47">
        <v>45401</v>
      </c>
      <c r="C69" s="43"/>
      <c r="D69" s="43"/>
      <c r="E69" s="43"/>
      <c r="F69" s="43"/>
      <c r="G69" s="43" t="s">
        <v>543</v>
      </c>
      <c r="H69" s="45"/>
      <c r="I69" s="45"/>
      <c r="J69" s="45"/>
      <c r="K69" s="45"/>
      <c r="L69" s="45"/>
      <c r="M69" s="45"/>
      <c r="N69" s="45"/>
      <c r="O69" s="45">
        <v>-4566</v>
      </c>
      <c r="P69" s="26">
        <f>SUM(Table134721[[#This Row],[Valor de la Factura del Cliente]:[Avance]])+P68</f>
        <v>35924.632500000007</v>
      </c>
    </row>
    <row r="70" spans="2:16" x14ac:dyDescent="0.45">
      <c r="B70" s="47">
        <v>45491</v>
      </c>
      <c r="C70" s="43"/>
      <c r="D70" s="43"/>
      <c r="E70" s="43"/>
      <c r="F70" s="43"/>
      <c r="G70" s="43" t="s">
        <v>546</v>
      </c>
      <c r="H70" s="45"/>
      <c r="I70" s="45"/>
      <c r="J70" s="45"/>
      <c r="K70" s="45"/>
      <c r="L70" s="45"/>
      <c r="M70" s="45"/>
      <c r="N70" s="45">
        <v>-2765</v>
      </c>
      <c r="O70" s="45"/>
      <c r="P70" s="26">
        <f>SUM(Table134721[[#This Row],[Valor de la Factura del Cliente]:[Avance]])+P69</f>
        <v>33159.632500000007</v>
      </c>
    </row>
    <row r="71" spans="2:16" ht="36" x14ac:dyDescent="0.45">
      <c r="B71" s="47">
        <v>45548</v>
      </c>
      <c r="C71" s="43"/>
      <c r="D71" s="43"/>
      <c r="E71" s="43"/>
      <c r="F71" s="43"/>
      <c r="G71" s="43" t="s">
        <v>547</v>
      </c>
      <c r="H71" s="45"/>
      <c r="I71" s="45"/>
      <c r="J71" s="45"/>
      <c r="K71" s="45"/>
      <c r="L71" s="45"/>
      <c r="M71" s="45"/>
      <c r="N71" s="45">
        <v>-2258.7199999999998</v>
      </c>
      <c r="O71" s="45"/>
      <c r="P71" s="26">
        <f>SUM(Table134721[[#This Row],[Valor de la Factura del Cliente]:[Avance]])+P70</f>
        <v>30900.912500000006</v>
      </c>
    </row>
    <row r="72" spans="2:16" x14ac:dyDescent="0.45">
      <c r="B72" s="47">
        <v>45628</v>
      </c>
      <c r="C72" s="43"/>
      <c r="D72" s="43"/>
      <c r="E72" s="43"/>
      <c r="F72" s="43"/>
      <c r="G72" s="43" t="s">
        <v>543</v>
      </c>
      <c r="H72" s="45"/>
      <c r="I72" s="45"/>
      <c r="J72" s="45"/>
      <c r="K72" s="45"/>
      <c r="L72" s="45"/>
      <c r="M72" s="45"/>
      <c r="N72" s="45"/>
      <c r="O72" s="45">
        <v>-3822.45</v>
      </c>
      <c r="P72" s="26">
        <f>SUM(Table134721[[#This Row],[Valor de la Factura del Cliente]:[Avance]])+P71</f>
        <v>27078.462500000005</v>
      </c>
    </row>
    <row r="73" spans="2:16" x14ac:dyDescent="0.45">
      <c r="B73" s="47">
        <v>45705</v>
      </c>
      <c r="C73" s="43"/>
      <c r="D73" s="43"/>
      <c r="E73" s="43"/>
      <c r="F73" s="43"/>
      <c r="G73" s="43" t="s">
        <v>543</v>
      </c>
      <c r="H73" s="45"/>
      <c r="I73" s="45"/>
      <c r="J73" s="45"/>
      <c r="K73" s="45"/>
      <c r="L73" s="45"/>
      <c r="M73" s="45"/>
      <c r="N73" s="45"/>
      <c r="O73" s="45">
        <v>-2811.11</v>
      </c>
      <c r="P73" s="26">
        <f>SUM(Table134721[[#This Row],[Valor de la Factura del Cliente]:[Avance]])+P72</f>
        <v>24267.352500000005</v>
      </c>
    </row>
    <row r="74" spans="2:16" x14ac:dyDescent="0.45">
      <c r="B74" s="47">
        <v>45780</v>
      </c>
      <c r="C74" s="43"/>
      <c r="D74" s="43"/>
      <c r="E74" s="43"/>
      <c r="F74" s="43"/>
      <c r="G74" s="43" t="s">
        <v>543</v>
      </c>
      <c r="H74" s="45"/>
      <c r="I74" s="45"/>
      <c r="J74" s="45"/>
      <c r="K74" s="45"/>
      <c r="L74" s="45"/>
      <c r="M74" s="45"/>
      <c r="N74" s="45"/>
      <c r="O74" s="45">
        <v>-10922.23</v>
      </c>
      <c r="P74" s="26">
        <f>SUM(Table134721[[#This Row],[Valor de la Factura del Cliente]:[Avance]])+P73</f>
        <v>13345.122500000005</v>
      </c>
    </row>
    <row r="75" spans="2:16" ht="18.75" thickBot="1" x14ac:dyDescent="0.5">
      <c r="B75" s="47">
        <v>45861</v>
      </c>
      <c r="C75" s="43"/>
      <c r="D75" s="43"/>
      <c r="E75" s="43"/>
      <c r="F75" s="43"/>
      <c r="G75" s="43" t="s">
        <v>543</v>
      </c>
      <c r="H75" s="45"/>
      <c r="I75" s="45"/>
      <c r="J75" s="45"/>
      <c r="K75" s="45"/>
      <c r="L75" s="45"/>
      <c r="M75" s="45"/>
      <c r="N75" s="45"/>
      <c r="O75" s="45">
        <v>-5103.3</v>
      </c>
      <c r="P75" s="26">
        <f>SUM(Table134721[[#This Row],[Valor de la Factura del Cliente]:[Avance]])+P74</f>
        <v>8241.8225000000057</v>
      </c>
    </row>
    <row r="76" spans="2:16" ht="18.75" thickBot="1" x14ac:dyDescent="0.5">
      <c r="B76" s="22"/>
      <c r="C76" s="23"/>
      <c r="D76" s="23"/>
      <c r="E76" s="23"/>
      <c r="F76" s="23"/>
      <c r="G76" s="34" t="s">
        <v>356</v>
      </c>
      <c r="H76" s="35">
        <f>SUBTOTAL(109,Table134721[Valor de la Factura del Cliente])</f>
        <v>81146.339999999982</v>
      </c>
      <c r="I76" s="35">
        <f>SUBTOTAL(109,Table134721[Cargos Bancarios])</f>
        <v>0</v>
      </c>
      <c r="J76" s="35">
        <f>SUBTOTAL(109,Table134721[50% Fee])</f>
        <v>-5230.5450000000001</v>
      </c>
      <c r="K76" s="35">
        <f>SUBTOTAL(109,Table134721[20% Comisión])</f>
        <v>-13453.41</v>
      </c>
      <c r="L76" s="35">
        <f>SUBTOTAL(109,Table134721[5% Legal])</f>
        <v>-3363.3525</v>
      </c>
      <c r="M76" s="35">
        <f>SUBTOTAL(109,Table134721[Retención de Impuestos])</f>
        <v>0</v>
      </c>
      <c r="N76" s="35">
        <f>SUBTOTAL(109,Table134721[Pagado por MVPX])</f>
        <v>-17938.36</v>
      </c>
      <c r="O76" s="35">
        <f>SUBTOTAL(109,Table134721[Avance])</f>
        <v>-32918.85</v>
      </c>
      <c r="P76" s="36">
        <f>+P75</f>
        <v>8241.8225000000057</v>
      </c>
    </row>
  </sheetData>
  <mergeCells count="1">
    <mergeCell ref="B7:P7"/>
  </mergeCells>
  <printOptions horizontalCentered="1"/>
  <pageMargins left="0.25" right="0.25" top="0.75" bottom="0.75" header="0.3" footer="0.3"/>
  <pageSetup scale="47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CC1C-35EB-452A-8E27-4A6092059C28}">
  <sheetPr>
    <pageSetUpPr fitToPage="1"/>
  </sheetPr>
  <dimension ref="B1:P15"/>
  <sheetViews>
    <sheetView showGridLines="0" view="pageLayout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5" width="17" style="8" bestFit="1" customWidth="1"/>
    <col min="16" max="16" width="14.5703125" style="8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507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MIN(Table134720[Fecha])</f>
        <v>45044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MAX(Table134720[Fecha])</f>
        <v>45328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>
        <v>45294</v>
      </c>
      <c r="C9" s="24"/>
      <c r="D9" s="24"/>
      <c r="E9" s="24"/>
      <c r="F9" s="24" t="s">
        <v>507</v>
      </c>
      <c r="G9" s="24" t="s">
        <v>489</v>
      </c>
      <c r="H9" s="25">
        <v>585.16</v>
      </c>
      <c r="I9" s="25"/>
      <c r="J9" s="25"/>
      <c r="K9" s="25">
        <f>-Table134720[[#This Row],[Valor de la Factura del Cliente]]*0.2</f>
        <v>-117.032</v>
      </c>
      <c r="L9" s="25">
        <f>-Table134720[[#This Row],[Valor de la Factura del Cliente]]*0.05</f>
        <v>-29.257999999999999</v>
      </c>
      <c r="M9" s="25"/>
      <c r="N9" s="25"/>
      <c r="O9" s="25"/>
      <c r="P9" s="26">
        <f>SUM(Table134720[[#This Row],[Valor de la Factura del Cliente]:[Avance]])</f>
        <v>438.87</v>
      </c>
    </row>
    <row r="10" spans="2:16" s="12" customFormat="1" x14ac:dyDescent="0.25">
      <c r="B10" s="47">
        <v>45044</v>
      </c>
      <c r="C10" s="27"/>
      <c r="D10" s="27"/>
      <c r="E10" s="27"/>
      <c r="F10" s="27" t="s">
        <v>507</v>
      </c>
      <c r="G10" s="27" t="s">
        <v>268</v>
      </c>
      <c r="H10" s="28"/>
      <c r="I10" s="28"/>
      <c r="J10" s="28"/>
      <c r="K10" s="28"/>
      <c r="L10" s="28"/>
      <c r="M10" s="28"/>
      <c r="N10" s="28"/>
      <c r="O10" s="28">
        <v>-200</v>
      </c>
      <c r="P10" s="26">
        <f>SUM(Table134720[[#This Row],[Valor de la Factura del Cliente]:[Avance]])+P9</f>
        <v>238.87</v>
      </c>
    </row>
    <row r="11" spans="2:16" s="12" customFormat="1" x14ac:dyDescent="0.25">
      <c r="B11" s="47">
        <v>45104</v>
      </c>
      <c r="C11" s="27"/>
      <c r="D11" s="27"/>
      <c r="E11" s="27"/>
      <c r="F11" s="27" t="s">
        <v>507</v>
      </c>
      <c r="G11" s="27" t="s">
        <v>508</v>
      </c>
      <c r="H11" s="28"/>
      <c r="I11" s="28"/>
      <c r="J11" s="28"/>
      <c r="K11" s="28"/>
      <c r="L11" s="28"/>
      <c r="M11" s="28"/>
      <c r="N11" s="28"/>
      <c r="O11" s="28">
        <v>-665</v>
      </c>
      <c r="P11" s="26">
        <f>SUM(Table134720[[#This Row],[Valor de la Factura del Cliente]:[Avance]])+P10</f>
        <v>-426.13</v>
      </c>
    </row>
    <row r="12" spans="2:16" s="12" customFormat="1" x14ac:dyDescent="0.25">
      <c r="B12" s="47">
        <v>45167</v>
      </c>
      <c r="C12" s="27"/>
      <c r="D12" s="27"/>
      <c r="E12" s="27"/>
      <c r="F12" s="27" t="s">
        <v>507</v>
      </c>
      <c r="G12" s="27" t="s">
        <v>509</v>
      </c>
      <c r="H12" s="28"/>
      <c r="I12" s="28"/>
      <c r="J12" s="28"/>
      <c r="K12" s="28"/>
      <c r="L12" s="28"/>
      <c r="M12" s="28"/>
      <c r="N12" s="28"/>
      <c r="O12" s="28">
        <v>-475</v>
      </c>
      <c r="P12" s="26">
        <f>SUM(Table134720[[#This Row],[Valor de la Factura del Cliente]:[Avance]])+P11</f>
        <v>-901.13</v>
      </c>
    </row>
    <row r="13" spans="2:16" s="12" customFormat="1" x14ac:dyDescent="0.25">
      <c r="B13" s="47">
        <v>45264</v>
      </c>
      <c r="C13" s="27"/>
      <c r="D13" s="27"/>
      <c r="E13" s="27"/>
      <c r="F13" s="27" t="s">
        <v>507</v>
      </c>
      <c r="G13" s="27" t="s">
        <v>510</v>
      </c>
      <c r="H13" s="28"/>
      <c r="I13" s="28"/>
      <c r="J13" s="28"/>
      <c r="K13" s="28"/>
      <c r="L13" s="28"/>
      <c r="M13" s="28"/>
      <c r="N13" s="28"/>
      <c r="O13" s="28">
        <v>-600</v>
      </c>
      <c r="P13" s="26">
        <f>SUM(Table134720[[#This Row],[Valor de la Factura del Cliente]:[Avance]])+P12</f>
        <v>-1501.13</v>
      </c>
    </row>
    <row r="14" spans="2:16" s="12" customFormat="1" ht="18.75" thickBot="1" x14ac:dyDescent="0.3">
      <c r="B14" s="47">
        <v>45328</v>
      </c>
      <c r="C14" s="27"/>
      <c r="D14" s="27"/>
      <c r="E14" s="27"/>
      <c r="F14" s="27" t="s">
        <v>507</v>
      </c>
      <c r="G14" s="27" t="s">
        <v>511</v>
      </c>
      <c r="H14" s="28"/>
      <c r="I14" s="28"/>
      <c r="J14" s="28"/>
      <c r="K14" s="28"/>
      <c r="L14" s="28"/>
      <c r="M14" s="28"/>
      <c r="N14" s="28"/>
      <c r="O14" s="28">
        <v>-500</v>
      </c>
      <c r="P14" s="26">
        <f>SUM(Table134720[[#This Row],[Valor de la Factura del Cliente]:[Avance]])+P13</f>
        <v>-2001.13</v>
      </c>
    </row>
    <row r="15" spans="2:16" ht="18.75" thickBot="1" x14ac:dyDescent="0.5">
      <c r="B15" s="22"/>
      <c r="C15" s="23"/>
      <c r="D15" s="23"/>
      <c r="E15" s="23"/>
      <c r="F15" s="23"/>
      <c r="G15" s="34" t="s">
        <v>356</v>
      </c>
      <c r="H15" s="35">
        <f>SUBTOTAL(109,Table134720[Valor de la Factura del Cliente])</f>
        <v>585.16</v>
      </c>
      <c r="I15" s="35">
        <f>SUBTOTAL(109,Table134720[Cargos Bancarios])</f>
        <v>0</v>
      </c>
      <c r="J15" s="35"/>
      <c r="K15" s="35">
        <f>SUBTOTAL(109,Table134720[20% Comisión])</f>
        <v>-117.032</v>
      </c>
      <c r="L15" s="35">
        <f>SUBTOTAL(109,Table134720[5% Legal])</f>
        <v>-29.257999999999999</v>
      </c>
      <c r="M15" s="35">
        <f>SUBTOTAL(109,Table134720[Retención de Impuestos])</f>
        <v>0</v>
      </c>
      <c r="N15" s="35">
        <f>SUBTOTAL(109,Table134720[Pagado por MVPX])</f>
        <v>0</v>
      </c>
      <c r="O15" s="35">
        <f>SUBTOTAL(109,Table134720[Avance])</f>
        <v>-2440</v>
      </c>
      <c r="P15" s="36">
        <f>+P14</f>
        <v>-2001.13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A874-F24C-4BB0-8845-5C78AB94B2AE}">
  <sheetPr>
    <pageSetUpPr fitToPage="1"/>
  </sheetPr>
  <dimension ref="B1:P12"/>
  <sheetViews>
    <sheetView showGridLines="0" view="pageLayout" topLeftCell="G1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503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51"/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MIN(Table134719[Fecha])</f>
        <v>45387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MAX(Table134719[Fecha])</f>
        <v>45616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 t="s">
        <v>14</v>
      </c>
      <c r="C9" s="24"/>
      <c r="D9" s="24"/>
      <c r="E9" s="24"/>
      <c r="F9" s="24"/>
      <c r="G9" s="24" t="s">
        <v>504</v>
      </c>
      <c r="H9" s="25">
        <v>2899.27</v>
      </c>
      <c r="I9" s="25"/>
      <c r="J9" s="25"/>
      <c r="K9" s="25">
        <f>-Table134719[[#This Row],[Valor de la Factura del Cliente]]*0.2</f>
        <v>-579.85400000000004</v>
      </c>
      <c r="L9" s="25">
        <f>-Table134719[[#This Row],[Valor de la Factura del Cliente]]*0.05</f>
        <v>-144.96350000000001</v>
      </c>
      <c r="M9" s="25"/>
      <c r="N9" s="25"/>
      <c r="O9" s="25"/>
      <c r="P9" s="26">
        <f>SUM(Table134719[[#This Row],[Valor de la Factura del Cliente]:[Avance]])</f>
        <v>2174.4525000000003</v>
      </c>
    </row>
    <row r="10" spans="2:16" s="12" customFormat="1" x14ac:dyDescent="0.25">
      <c r="B10" s="47">
        <v>45387</v>
      </c>
      <c r="C10" s="27"/>
      <c r="D10" s="27"/>
      <c r="E10" s="27"/>
      <c r="F10" s="27"/>
      <c r="G10" s="27" t="s">
        <v>505</v>
      </c>
      <c r="H10" s="28"/>
      <c r="I10" s="28"/>
      <c r="J10" s="28"/>
      <c r="K10" s="28"/>
      <c r="L10" s="28"/>
      <c r="M10" s="28"/>
      <c r="N10" s="28">
        <v>-450</v>
      </c>
      <c r="O10" s="28"/>
      <c r="P10" s="26">
        <f>SUM(Table134719[[#This Row],[Valor de la Factura del Cliente]:[Avance]])+P9</f>
        <v>1724.4525000000003</v>
      </c>
    </row>
    <row r="11" spans="2:16" s="12" customFormat="1" ht="18.75" thickBot="1" x14ac:dyDescent="0.3">
      <c r="B11" s="47">
        <v>45616</v>
      </c>
      <c r="C11" s="27"/>
      <c r="D11" s="27"/>
      <c r="E11" s="27"/>
      <c r="F11" s="27"/>
      <c r="G11" s="27" t="s">
        <v>506</v>
      </c>
      <c r="H11" s="28"/>
      <c r="I11" s="28"/>
      <c r="J11" s="28"/>
      <c r="K11" s="28"/>
      <c r="L11" s="28"/>
      <c r="M11" s="28"/>
      <c r="N11" s="28">
        <v>-718.48</v>
      </c>
      <c r="O11" s="28"/>
      <c r="P11" s="26">
        <f>SUM(Table134719[[#This Row],[Valor de la Factura del Cliente]:[Avance]])+P10</f>
        <v>1005.9725000000003</v>
      </c>
    </row>
    <row r="12" spans="2:16" ht="18.75" thickBot="1" x14ac:dyDescent="0.5">
      <c r="B12" s="22"/>
      <c r="C12" s="23"/>
      <c r="D12" s="23"/>
      <c r="E12" s="23"/>
      <c r="F12" s="23"/>
      <c r="G12" s="34" t="s">
        <v>356</v>
      </c>
      <c r="H12" s="35">
        <f>SUBTOTAL(109,Table134719[Valor de la Factura del Cliente])</f>
        <v>2899.27</v>
      </c>
      <c r="I12" s="35">
        <f>SUBTOTAL(109,Table134719[Cargos Bancarios])</f>
        <v>0</v>
      </c>
      <c r="J12" s="35"/>
      <c r="K12" s="35">
        <f>SUBTOTAL(109,Table134719[20% Comisión])</f>
        <v>-579.85400000000004</v>
      </c>
      <c r="L12" s="35">
        <f>SUBTOTAL(109,Table134719[5% Legal])</f>
        <v>-144.96350000000001</v>
      </c>
      <c r="M12" s="35">
        <f>SUBTOTAL(109,Table134719[Retención de Impuestos])</f>
        <v>0</v>
      </c>
      <c r="N12" s="35">
        <f>SUBTOTAL(109,Table134719[Pagado por MVPX])</f>
        <v>-1168.48</v>
      </c>
      <c r="O12" s="35">
        <f>SUBTOTAL(109,Table134719[Avance])</f>
        <v>0</v>
      </c>
      <c r="P12" s="36">
        <f>+P11</f>
        <v>1005.9725000000003</v>
      </c>
    </row>
  </sheetData>
  <mergeCells count="1">
    <mergeCell ref="B7:P7"/>
  </mergeCells>
  <printOptions horizontalCentered="1"/>
  <pageMargins left="0.25" right="0.25" top="0.75" bottom="0.75" header="0.3" footer="0.3"/>
  <pageSetup scale="50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1F11-119C-43BE-B416-FF6D5D6EEB31}">
  <sheetPr>
    <pageSetUpPr fitToPage="1"/>
  </sheetPr>
  <dimension ref="B1:P14"/>
  <sheetViews>
    <sheetView showGridLines="0" view="pageLayout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500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51" t="str">
        <f>+E2</f>
        <v>Carlos Manuel Jr. Agosto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MIN(Table134718[Fecha])</f>
        <v>45205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MAX(Table134718[Fecha])</f>
        <v>45863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>
        <v>45863</v>
      </c>
      <c r="C9" s="24"/>
      <c r="D9" s="24"/>
      <c r="E9" s="24"/>
      <c r="F9" s="24" t="s">
        <v>501</v>
      </c>
      <c r="G9" s="24" t="s">
        <v>95</v>
      </c>
      <c r="H9" s="25">
        <v>2086.7199999999998</v>
      </c>
      <c r="I9" s="25"/>
      <c r="J9" s="25"/>
      <c r="K9" s="25">
        <v>-692.05</v>
      </c>
      <c r="L9" s="25"/>
      <c r="M9" s="25"/>
      <c r="N9" s="25"/>
      <c r="O9" s="25"/>
      <c r="P9" s="26">
        <f>SUM(Table134718[[#This Row],[Valor de la Factura del Cliente]:[Pagado por MVPX]])</f>
        <v>1394.6699999999998</v>
      </c>
    </row>
    <row r="10" spans="2:16" s="12" customFormat="1" x14ac:dyDescent="0.25">
      <c r="B10" s="47">
        <v>45205</v>
      </c>
      <c r="C10" s="27"/>
      <c r="D10" s="27"/>
      <c r="E10" s="27"/>
      <c r="F10" s="27" t="s">
        <v>501</v>
      </c>
      <c r="G10" s="27" t="s">
        <v>502</v>
      </c>
      <c r="H10" s="28"/>
      <c r="I10" s="28"/>
      <c r="J10" s="28"/>
      <c r="K10" s="28"/>
      <c r="L10" s="28"/>
      <c r="M10" s="28"/>
      <c r="N10" s="25">
        <v>-444.6</v>
      </c>
      <c r="O10" s="28"/>
      <c r="P10" s="26">
        <f>SUM(Table134718[[#This Row],[Valor de la Factura del Cliente]:[Pagado por MVPX]])+P9</f>
        <v>950.06999999999982</v>
      </c>
    </row>
    <row r="11" spans="2:16" s="12" customFormat="1" x14ac:dyDescent="0.25">
      <c r="B11" s="47">
        <v>45286</v>
      </c>
      <c r="C11" s="27"/>
      <c r="D11" s="27"/>
      <c r="E11" s="27"/>
      <c r="F11" s="27" t="s">
        <v>501</v>
      </c>
      <c r="G11" s="27" t="s">
        <v>502</v>
      </c>
      <c r="H11" s="28"/>
      <c r="I11" s="28"/>
      <c r="J11" s="28"/>
      <c r="K11" s="28"/>
      <c r="L11" s="28"/>
      <c r="M11" s="28"/>
      <c r="N11" s="28">
        <v>-67.19</v>
      </c>
      <c r="O11" s="28"/>
      <c r="P11" s="26">
        <f>SUM(Table134718[[#This Row],[Valor de la Factura del Cliente]:[Pagado por MVPX]])+P10</f>
        <v>882.87999999999988</v>
      </c>
    </row>
    <row r="12" spans="2:16" s="12" customFormat="1" x14ac:dyDescent="0.25">
      <c r="B12" s="47">
        <v>45572</v>
      </c>
      <c r="C12" s="27"/>
      <c r="D12" s="27"/>
      <c r="E12" s="27"/>
      <c r="F12" s="27" t="s">
        <v>501</v>
      </c>
      <c r="G12" s="27" t="s">
        <v>502</v>
      </c>
      <c r="H12" s="28"/>
      <c r="I12" s="28"/>
      <c r="J12" s="28"/>
      <c r="K12" s="28"/>
      <c r="L12" s="28"/>
      <c r="M12" s="28"/>
      <c r="N12" s="28">
        <v>-395.83</v>
      </c>
      <c r="O12" s="28"/>
      <c r="P12" s="26">
        <f>SUM(Table134718[[#This Row],[Valor de la Factura del Cliente]:[Pagado por MVPX]])+P11</f>
        <v>487.0499999999999</v>
      </c>
    </row>
    <row r="13" spans="2:16" s="12" customFormat="1" ht="18.75" thickBot="1" x14ac:dyDescent="0.3">
      <c r="B13" s="47">
        <v>45749</v>
      </c>
      <c r="C13" s="27"/>
      <c r="D13" s="27"/>
      <c r="E13" s="27"/>
      <c r="F13" s="27" t="s">
        <v>501</v>
      </c>
      <c r="G13" s="27" t="s">
        <v>502</v>
      </c>
      <c r="H13" s="28"/>
      <c r="I13" s="28"/>
      <c r="J13" s="28"/>
      <c r="K13" s="28"/>
      <c r="L13" s="28"/>
      <c r="M13" s="28"/>
      <c r="N13" s="28">
        <v>-561.1</v>
      </c>
      <c r="O13" s="28"/>
      <c r="P13" s="26">
        <f>SUM(Table134718[[#This Row],[Valor de la Factura del Cliente]:[Pagado por MVPX]])+P12</f>
        <v>-74.050000000000125</v>
      </c>
    </row>
    <row r="14" spans="2:16" ht="18.75" thickBot="1" x14ac:dyDescent="0.5">
      <c r="B14" s="22"/>
      <c r="C14" s="23"/>
      <c r="D14" s="23"/>
      <c r="E14" s="23"/>
      <c r="F14" s="23"/>
      <c r="G14" s="34" t="s">
        <v>356</v>
      </c>
      <c r="H14" s="35">
        <f>SUBTOTAL(109,Table134718[Valor de la Factura del Cliente])</f>
        <v>2086.7199999999998</v>
      </c>
      <c r="I14" s="35">
        <f>SUBTOTAL(109,Table134718[Cargos Bancarios])</f>
        <v>0</v>
      </c>
      <c r="J14" s="35"/>
      <c r="K14" s="35">
        <f>SUBTOTAL(109,Table134718[20% Comisión])</f>
        <v>-692.05</v>
      </c>
      <c r="L14" s="35">
        <f>SUBTOTAL(109,Table134718[5% Legal])</f>
        <v>0</v>
      </c>
      <c r="M14" s="35">
        <f>SUBTOTAL(109,Table134718[Retención de Impuestos])</f>
        <v>0</v>
      </c>
      <c r="N14" s="35">
        <f>SUBTOTAL(109,Table134718[Pagado por MVPX])</f>
        <v>-1468.72</v>
      </c>
      <c r="O14" s="35">
        <f>SUBTOTAL(109,Table134718[Avance])</f>
        <v>0</v>
      </c>
      <c r="P14" s="36">
        <f>+P13</f>
        <v>-74.050000000000125</v>
      </c>
    </row>
  </sheetData>
  <mergeCells count="1">
    <mergeCell ref="B7:P7"/>
  </mergeCells>
  <printOptions horizontalCentered="1"/>
  <pageMargins left="0.25" right="0.25" top="0.75" bottom="0.75" header="0.3" footer="0.3"/>
  <pageSetup scale="50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B5309-740E-428C-ABC3-956C62DDB4AB}">
  <sheetPr>
    <pageSetUpPr fitToPage="1"/>
  </sheetPr>
  <dimension ref="B1:P66"/>
  <sheetViews>
    <sheetView showGridLines="0" view="pageLayout" zoomScale="74" zoomScaleNormal="100" zoomScaleSheetLayoutView="85" zoomScalePageLayoutView="74" workbookViewId="0">
      <selection activeCell="J13" sqref="J13"/>
    </sheetView>
  </sheetViews>
  <sheetFormatPr defaultRowHeight="18" x14ac:dyDescent="0.45"/>
  <cols>
    <col min="1" max="1" width="1" style="8" customWidth="1"/>
    <col min="2" max="2" width="11.140625" style="8" customWidth="1"/>
    <col min="3" max="3" width="12.42578125" style="8" customWidth="1"/>
    <col min="4" max="4" width="9.140625" style="8" customWidth="1"/>
    <col min="5" max="5" width="14.140625" style="8" customWidth="1"/>
    <col min="6" max="6" width="22.570312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2" style="8" customWidth="1"/>
    <col min="16" max="16" width="14.5703125" style="8" customWidth="1"/>
    <col min="17" max="16384" width="9.140625" style="8"/>
  </cols>
  <sheetData>
    <row r="1" spans="2:16" x14ac:dyDescent="0.45">
      <c r="O1" s="8" t="s">
        <v>60</v>
      </c>
    </row>
    <row r="2" spans="2:16" ht="18" customHeight="1" x14ac:dyDescent="0.45">
      <c r="I2" s="10"/>
      <c r="J2" s="10"/>
      <c r="K2" s="10"/>
      <c r="M2" s="9"/>
      <c r="O2" s="9" t="s">
        <v>61</v>
      </c>
    </row>
    <row r="3" spans="2:16" ht="18" customHeight="1" x14ac:dyDescent="0.45">
      <c r="H3" s="10"/>
      <c r="I3" s="10"/>
      <c r="J3" s="10"/>
      <c r="K3" s="10"/>
      <c r="O3" s="8" t="s">
        <v>62</v>
      </c>
    </row>
    <row r="4" spans="2:16" ht="18" customHeight="1" x14ac:dyDescent="0.45">
      <c r="H4" s="10"/>
      <c r="I4" s="10"/>
      <c r="J4" s="10"/>
      <c r="K4" s="10"/>
      <c r="L4" s="10"/>
      <c r="M4" s="10"/>
    </row>
    <row r="5" spans="2:16" ht="18" customHeight="1" thickBot="1" x14ac:dyDescent="0.5">
      <c r="H5" s="10"/>
      <c r="I5" s="10"/>
      <c r="J5" s="10"/>
      <c r="K5" s="10"/>
      <c r="L5" s="10"/>
      <c r="M5" s="10"/>
    </row>
    <row r="6" spans="2:16" ht="18" customHeight="1" x14ac:dyDescent="0.45">
      <c r="B6" s="13" t="s">
        <v>352</v>
      </c>
      <c r="C6" s="14"/>
      <c r="D6" s="15"/>
      <c r="E6" s="14" t="str">
        <f>+'Base de datos'!B18</f>
        <v>MozartMuzik</v>
      </c>
      <c r="F6" s="14"/>
      <c r="G6" s="16"/>
      <c r="H6" s="10"/>
      <c r="I6" s="10"/>
      <c r="J6" s="10"/>
      <c r="K6" s="10"/>
      <c r="L6" s="10"/>
      <c r="M6" s="10"/>
    </row>
    <row r="7" spans="2:16" ht="18" customHeight="1" x14ac:dyDescent="0.45">
      <c r="B7" s="17" t="s">
        <v>353</v>
      </c>
      <c r="E7" s="8" t="str">
        <f>_xlfn.CONCAT('Base de datos'!C18," ",'Base de datos'!D18)</f>
        <v>Nizco Chaparro Jose Luis</v>
      </c>
      <c r="G7" s="18"/>
      <c r="H7" s="10"/>
      <c r="I7" s="10"/>
      <c r="J7" s="10"/>
      <c r="K7" s="10"/>
      <c r="L7" s="10"/>
      <c r="M7" s="10"/>
    </row>
    <row r="8" spans="2:16" x14ac:dyDescent="0.45">
      <c r="B8" s="17" t="s">
        <v>354</v>
      </c>
      <c r="E8" s="37">
        <f>MIN(Table1[Fecha])</f>
        <v>44204</v>
      </c>
      <c r="G8" s="18"/>
    </row>
    <row r="9" spans="2:16" ht="18.75" thickBot="1" x14ac:dyDescent="0.5">
      <c r="B9" s="19" t="s">
        <v>343</v>
      </c>
      <c r="C9" s="20"/>
      <c r="D9" s="20"/>
      <c r="E9" s="38">
        <f>MAX(Table1[Fecha])</f>
        <v>45937</v>
      </c>
      <c r="F9" s="20"/>
      <c r="G9" s="21"/>
    </row>
    <row r="10" spans="2:16" ht="18.75" thickBot="1" x14ac:dyDescent="0.5"/>
    <row r="11" spans="2:16" x14ac:dyDescent="0.45">
      <c r="B11" s="78" t="s">
        <v>345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80"/>
    </row>
    <row r="12" spans="2:16" s="11" customFormat="1" ht="52.5" thickBot="1" x14ac:dyDescent="0.5">
      <c r="B12" s="39" t="s">
        <v>63</v>
      </c>
      <c r="C12" s="40" t="s">
        <v>349</v>
      </c>
      <c r="D12" s="40" t="s">
        <v>344</v>
      </c>
      <c r="E12" s="40" t="s">
        <v>350</v>
      </c>
      <c r="F12" s="40" t="s">
        <v>64</v>
      </c>
      <c r="G12" s="40" t="s">
        <v>65</v>
      </c>
      <c r="H12" s="40" t="s">
        <v>351</v>
      </c>
      <c r="I12" s="40" t="s">
        <v>66</v>
      </c>
      <c r="J12" s="40" t="s">
        <v>548</v>
      </c>
      <c r="K12" s="40" t="s">
        <v>347</v>
      </c>
      <c r="L12" s="40" t="s">
        <v>348</v>
      </c>
      <c r="M12" s="40" t="s">
        <v>346</v>
      </c>
      <c r="N12" s="40" t="s">
        <v>357</v>
      </c>
      <c r="O12" s="40" t="s">
        <v>295</v>
      </c>
      <c r="P12" s="41" t="s">
        <v>67</v>
      </c>
    </row>
    <row r="13" spans="2:16" s="12" customFormat="1" x14ac:dyDescent="0.25">
      <c r="B13" s="46">
        <v>44265</v>
      </c>
      <c r="C13" s="24"/>
      <c r="D13" s="24"/>
      <c r="E13" s="24"/>
      <c r="F13" s="24" t="s">
        <v>68</v>
      </c>
      <c r="G13" s="24" t="s">
        <v>69</v>
      </c>
      <c r="H13" s="25">
        <v>120</v>
      </c>
      <c r="I13" s="25"/>
      <c r="J13" s="25"/>
      <c r="K13" s="25">
        <f>Table1[[#This Row],[Valor de la Factura del Cliente]]*0.2*-1</f>
        <v>-24</v>
      </c>
      <c r="L13" s="25">
        <f>Table1[[#This Row],[Valor de la Factura del Cliente]]*0.05*-1</f>
        <v>-6</v>
      </c>
      <c r="M13" s="25"/>
      <c r="N13" s="25">
        <v>-90</v>
      </c>
      <c r="O13" s="25"/>
      <c r="P13" s="26">
        <f>SUM(Table1[[#This Row],[Valor de la Factura del Cliente]:[Avance]])</f>
        <v>0</v>
      </c>
    </row>
    <row r="14" spans="2:16" s="12" customFormat="1" ht="36" x14ac:dyDescent="0.25">
      <c r="B14" s="47">
        <v>44204</v>
      </c>
      <c r="C14" s="27"/>
      <c r="D14" s="27"/>
      <c r="E14" s="27"/>
      <c r="F14" s="27" t="s">
        <v>70</v>
      </c>
      <c r="G14" s="27" t="s">
        <v>71</v>
      </c>
      <c r="H14" s="28">
        <v>1550</v>
      </c>
      <c r="I14" s="28">
        <v>-15</v>
      </c>
      <c r="J14" s="28"/>
      <c r="K14" s="28">
        <f>Table1[[#This Row],[Valor de la Factura del Cliente]]*0.2*-1</f>
        <v>-310</v>
      </c>
      <c r="L14" s="28">
        <f>Table1[[#This Row],[Valor de la Factura del Cliente]]*0.05*-1</f>
        <v>-77.5</v>
      </c>
      <c r="M14" s="28"/>
      <c r="N14" s="28">
        <v>-1147.5</v>
      </c>
      <c r="O14" s="28"/>
      <c r="P14" s="29">
        <f>SUM(Table1[[#This Row],[Valor de la Factura del Cliente]:[Avance]])+P13</f>
        <v>0</v>
      </c>
    </row>
    <row r="15" spans="2:16" s="12" customFormat="1" ht="54" x14ac:dyDescent="0.25">
      <c r="B15" s="47">
        <v>44214</v>
      </c>
      <c r="C15" s="27"/>
      <c r="D15" s="27"/>
      <c r="E15" s="27"/>
      <c r="F15" s="27" t="s">
        <v>72</v>
      </c>
      <c r="G15" s="27" t="s">
        <v>73</v>
      </c>
      <c r="H15" s="28">
        <v>1500</v>
      </c>
      <c r="I15" s="28">
        <v>-15</v>
      </c>
      <c r="J15" s="28"/>
      <c r="K15" s="28">
        <f>Table1[[#This Row],[Valor de la Factura del Cliente]]*0.2*-1</f>
        <v>-300</v>
      </c>
      <c r="L15" s="28">
        <f>Table1[[#This Row],[Valor de la Factura del Cliente]]*0.05*-1</f>
        <v>-75</v>
      </c>
      <c r="M15" s="28">
        <v>-7.2</v>
      </c>
      <c r="N15" s="28">
        <v>-1102.8</v>
      </c>
      <c r="O15" s="28"/>
      <c r="P15" s="29">
        <f>SUM(Table1[[#This Row],[Valor de la Factura del Cliente]:[Avance]])+P14</f>
        <v>0</v>
      </c>
    </row>
    <row r="16" spans="2:16" s="12" customFormat="1" ht="36" x14ac:dyDescent="0.25">
      <c r="B16" s="47">
        <v>44271</v>
      </c>
      <c r="C16" s="27"/>
      <c r="D16" s="27"/>
      <c r="E16" s="27"/>
      <c r="F16" s="27" t="s">
        <v>70</v>
      </c>
      <c r="G16" s="27" t="s">
        <v>74</v>
      </c>
      <c r="H16" s="28">
        <v>1750</v>
      </c>
      <c r="I16" s="28">
        <v>-15</v>
      </c>
      <c r="J16" s="28"/>
      <c r="K16" s="28">
        <f>Table1[[#This Row],[Valor de la Factura del Cliente]]*0.2*-1</f>
        <v>-350</v>
      </c>
      <c r="L16" s="28">
        <f>Table1[[#This Row],[Valor de la Factura del Cliente]]*0.05*-1</f>
        <v>-87.5</v>
      </c>
      <c r="M16" s="28"/>
      <c r="N16" s="28">
        <v>-1297.5</v>
      </c>
      <c r="O16" s="28"/>
      <c r="P16" s="29">
        <f>SUM(Table1[[#This Row],[Valor de la Factura del Cliente]:[Avance]])+P15</f>
        <v>0</v>
      </c>
    </row>
    <row r="17" spans="2:16" s="12" customFormat="1" ht="36" x14ac:dyDescent="0.25">
      <c r="B17" s="47">
        <v>44284</v>
      </c>
      <c r="C17" s="27"/>
      <c r="D17" s="27"/>
      <c r="E17" s="27"/>
      <c r="F17" s="27" t="s">
        <v>72</v>
      </c>
      <c r="G17" s="27" t="s">
        <v>75</v>
      </c>
      <c r="H17" s="28">
        <v>1000</v>
      </c>
      <c r="I17" s="28">
        <v>-15</v>
      </c>
      <c r="J17" s="28"/>
      <c r="K17" s="28">
        <f>Table1[[#This Row],[Valor de la Factura del Cliente]]*0.2*-1</f>
        <v>-200</v>
      </c>
      <c r="L17" s="28">
        <f>Table1[[#This Row],[Valor de la Factura del Cliente]]*0.05*-1</f>
        <v>-50</v>
      </c>
      <c r="M17" s="28">
        <v>-6</v>
      </c>
      <c r="N17" s="28">
        <v>-729</v>
      </c>
      <c r="O17" s="28"/>
      <c r="P17" s="29">
        <f>SUM(Table1[[#This Row],[Valor de la Factura del Cliente]:[Avance]])+P16</f>
        <v>0</v>
      </c>
    </row>
    <row r="18" spans="2:16" s="12" customFormat="1" x14ac:dyDescent="0.25">
      <c r="B18" s="47">
        <v>44340</v>
      </c>
      <c r="C18" s="27"/>
      <c r="D18" s="27"/>
      <c r="E18" s="27"/>
      <c r="F18" s="27" t="s">
        <v>76</v>
      </c>
      <c r="G18" s="27" t="s">
        <v>77</v>
      </c>
      <c r="H18" s="28">
        <v>1500</v>
      </c>
      <c r="I18" s="28">
        <v>-7.5</v>
      </c>
      <c r="J18" s="28"/>
      <c r="K18" s="28">
        <f>Table1[[#This Row],[Valor de la Factura del Cliente]]*0.2*-1</f>
        <v>-300</v>
      </c>
      <c r="L18" s="28">
        <f>Table1[[#This Row],[Valor de la Factura del Cliente]]*0.05*-1</f>
        <v>-75</v>
      </c>
      <c r="M18" s="28"/>
      <c r="N18" s="28">
        <v>-1117.5</v>
      </c>
      <c r="O18" s="28"/>
      <c r="P18" s="29">
        <f>SUM(Table1[[#This Row],[Valor de la Factura del Cliente]:[Avance]])+P17</f>
        <v>0</v>
      </c>
    </row>
    <row r="19" spans="2:16" s="12" customFormat="1" ht="36" x14ac:dyDescent="0.25">
      <c r="B19" s="47">
        <v>44340</v>
      </c>
      <c r="C19" s="27"/>
      <c r="D19" s="27"/>
      <c r="E19" s="27"/>
      <c r="F19" s="27" t="s">
        <v>76</v>
      </c>
      <c r="G19" s="27" t="s">
        <v>78</v>
      </c>
      <c r="H19" s="28">
        <v>750</v>
      </c>
      <c r="I19" s="28">
        <v>-7.5</v>
      </c>
      <c r="J19" s="28"/>
      <c r="K19" s="28">
        <f>Table1[[#This Row],[Valor de la Factura del Cliente]]*0.2*-1</f>
        <v>-150</v>
      </c>
      <c r="L19" s="28">
        <f>Table1[[#This Row],[Valor de la Factura del Cliente]]*0.05*-1</f>
        <v>-37.5</v>
      </c>
      <c r="M19" s="28"/>
      <c r="N19" s="28">
        <v>-555</v>
      </c>
      <c r="O19" s="28"/>
      <c r="P19" s="29">
        <f>SUM(Table1[[#This Row],[Valor de la Factura del Cliente]:[Avance]])+P18</f>
        <v>0</v>
      </c>
    </row>
    <row r="20" spans="2:16" s="12" customFormat="1" ht="36" x14ac:dyDescent="0.25">
      <c r="B20" s="47">
        <v>44340</v>
      </c>
      <c r="C20" s="27"/>
      <c r="D20" s="27"/>
      <c r="E20" s="27"/>
      <c r="F20" s="27" t="s">
        <v>76</v>
      </c>
      <c r="G20" s="27" t="s">
        <v>79</v>
      </c>
      <c r="H20" s="28">
        <v>1500</v>
      </c>
      <c r="I20" s="28">
        <v>0</v>
      </c>
      <c r="J20" s="28"/>
      <c r="K20" s="28">
        <f>Table1[[#This Row],[Valor de la Factura del Cliente]]*0.2*-1</f>
        <v>-300</v>
      </c>
      <c r="L20" s="28">
        <f>Table1[[#This Row],[Valor de la Factura del Cliente]]*0.05*-1</f>
        <v>-75</v>
      </c>
      <c r="M20" s="28"/>
      <c r="N20" s="28"/>
      <c r="O20" s="28"/>
      <c r="P20" s="29">
        <f>SUM(Table1[[#This Row],[Valor de la Factura del Cliente]:[Avance]])+P19</f>
        <v>1125</v>
      </c>
    </row>
    <row r="21" spans="2:16" s="12" customFormat="1" ht="36" x14ac:dyDescent="0.25">
      <c r="B21" s="47">
        <v>44340</v>
      </c>
      <c r="C21" s="27"/>
      <c r="D21" s="27"/>
      <c r="E21" s="27"/>
      <c r="F21" s="27" t="s">
        <v>76</v>
      </c>
      <c r="G21" s="27" t="s">
        <v>80</v>
      </c>
      <c r="H21" s="28">
        <v>2000</v>
      </c>
      <c r="I21" s="28">
        <v>-15</v>
      </c>
      <c r="J21" s="28"/>
      <c r="K21" s="28">
        <f>Table1[[#This Row],[Valor de la Factura del Cliente]]*0.2*-1</f>
        <v>-400</v>
      </c>
      <c r="L21" s="28">
        <f>Table1[[#This Row],[Valor de la Factura del Cliente]]*0.05*-1</f>
        <v>-100</v>
      </c>
      <c r="M21" s="28"/>
      <c r="N21" s="28">
        <v>-1485</v>
      </c>
      <c r="O21" s="28"/>
      <c r="P21" s="29">
        <f>SUM(Table1[[#This Row],[Valor de la Factura del Cliente]:[Avance]])+P20</f>
        <v>1125</v>
      </c>
    </row>
    <row r="22" spans="2:16" s="12" customFormat="1" x14ac:dyDescent="0.25">
      <c r="B22" s="47">
        <v>44342</v>
      </c>
      <c r="C22" s="27"/>
      <c r="D22" s="27"/>
      <c r="E22" s="27"/>
      <c r="F22" s="27" t="s">
        <v>76</v>
      </c>
      <c r="G22" s="27" t="s">
        <v>81</v>
      </c>
      <c r="H22" s="28">
        <v>1500</v>
      </c>
      <c r="I22" s="28">
        <v>-7.5</v>
      </c>
      <c r="J22" s="28"/>
      <c r="K22" s="28">
        <f>Table1[[#This Row],[Valor de la Factura del Cliente]]*0.2*-1</f>
        <v>-300</v>
      </c>
      <c r="L22" s="28">
        <f>Table1[[#This Row],[Valor de la Factura del Cliente]]*0.05*-1</f>
        <v>-75</v>
      </c>
      <c r="M22" s="28"/>
      <c r="N22" s="28">
        <v>-1117.5</v>
      </c>
      <c r="O22" s="28"/>
      <c r="P22" s="29">
        <f>SUM(Table1[[#This Row],[Valor de la Factura del Cliente]:[Avance]])+P21</f>
        <v>1125</v>
      </c>
    </row>
    <row r="23" spans="2:16" s="12" customFormat="1" x14ac:dyDescent="0.25">
      <c r="B23" s="47">
        <v>44342</v>
      </c>
      <c r="C23" s="27"/>
      <c r="D23" s="27"/>
      <c r="E23" s="27"/>
      <c r="F23" s="27" t="s">
        <v>76</v>
      </c>
      <c r="G23" s="27" t="s">
        <v>82</v>
      </c>
      <c r="H23" s="28">
        <v>500</v>
      </c>
      <c r="I23" s="28">
        <v>-7.5</v>
      </c>
      <c r="J23" s="28"/>
      <c r="K23" s="28">
        <f>Table1[[#This Row],[Valor de la Factura del Cliente]]*0.2*-1</f>
        <v>-100</v>
      </c>
      <c r="L23" s="28">
        <f>Table1[[#This Row],[Valor de la Factura del Cliente]]*0.05*-1</f>
        <v>-25</v>
      </c>
      <c r="M23" s="28"/>
      <c r="N23" s="28">
        <v>-367.5</v>
      </c>
      <c r="O23" s="28"/>
      <c r="P23" s="29">
        <f>SUM(Table1[[#This Row],[Valor de la Factura del Cliente]:[Avance]])+P22</f>
        <v>1125</v>
      </c>
    </row>
    <row r="24" spans="2:16" s="12" customFormat="1" ht="36" x14ac:dyDescent="0.25">
      <c r="B24" s="47">
        <v>44425</v>
      </c>
      <c r="C24" s="27"/>
      <c r="D24" s="27"/>
      <c r="E24" s="27"/>
      <c r="F24" s="27" t="s">
        <v>83</v>
      </c>
      <c r="G24" s="27" t="s">
        <v>84</v>
      </c>
      <c r="H24" s="28">
        <v>1500</v>
      </c>
      <c r="I24" s="28">
        <v>-15</v>
      </c>
      <c r="J24" s="28"/>
      <c r="K24" s="28">
        <f>Table1[[#This Row],[Valor de la Factura del Cliente]]*0.2*-1</f>
        <v>-300</v>
      </c>
      <c r="L24" s="28">
        <f>Table1[[#This Row],[Valor de la Factura del Cliente]]*0.05*-1</f>
        <v>-75</v>
      </c>
      <c r="M24" s="28"/>
      <c r="N24" s="28"/>
      <c r="O24" s="28"/>
      <c r="P24" s="29">
        <f>SUM(Table1[[#This Row],[Valor de la Factura del Cliente]:[Avance]])+P23</f>
        <v>2235</v>
      </c>
    </row>
    <row r="25" spans="2:16" s="12" customFormat="1" ht="36" x14ac:dyDescent="0.25">
      <c r="B25" s="47">
        <v>44441</v>
      </c>
      <c r="C25" s="27"/>
      <c r="D25" s="27"/>
      <c r="E25" s="27"/>
      <c r="F25" s="27" t="s">
        <v>72</v>
      </c>
      <c r="G25" s="27" t="s">
        <v>85</v>
      </c>
      <c r="H25" s="28">
        <v>1000</v>
      </c>
      <c r="I25" s="28">
        <v>-15</v>
      </c>
      <c r="J25" s="28"/>
      <c r="K25" s="28">
        <f>Table1[[#This Row],[Valor de la Factura del Cliente]]*0.2*-1</f>
        <v>-200</v>
      </c>
      <c r="L25" s="28">
        <f>Table1[[#This Row],[Valor de la Factura del Cliente]]*0.05*-1</f>
        <v>-50</v>
      </c>
      <c r="M25" s="28">
        <v>-6</v>
      </c>
      <c r="N25" s="28"/>
      <c r="O25" s="28"/>
      <c r="P25" s="29">
        <f>SUM(Table1[[#This Row],[Valor de la Factura del Cliente]:[Avance]])+P24</f>
        <v>2964</v>
      </c>
    </row>
    <row r="26" spans="2:16" s="12" customFormat="1" ht="36" x14ac:dyDescent="0.25">
      <c r="B26" s="47">
        <v>44473</v>
      </c>
      <c r="C26" s="27"/>
      <c r="D26" s="27"/>
      <c r="E26" s="27"/>
      <c r="F26" s="27" t="s">
        <v>86</v>
      </c>
      <c r="G26" s="27" t="s">
        <v>87</v>
      </c>
      <c r="H26" s="28">
        <v>1333.33</v>
      </c>
      <c r="I26" s="28">
        <v>-25</v>
      </c>
      <c r="J26" s="28"/>
      <c r="K26" s="28">
        <v>-200</v>
      </c>
      <c r="L26" s="28">
        <v>-50</v>
      </c>
      <c r="M26" s="28">
        <v>-333.33</v>
      </c>
      <c r="N26" s="28"/>
      <c r="O26" s="28"/>
      <c r="P26" s="29">
        <f>SUM(Table1[[#This Row],[Valor de la Factura del Cliente]:[Avance]])+P25</f>
        <v>3689</v>
      </c>
    </row>
    <row r="27" spans="2:16" s="12" customFormat="1" x14ac:dyDescent="0.25">
      <c r="B27" s="47">
        <v>44648</v>
      </c>
      <c r="C27" s="27"/>
      <c r="D27" s="27"/>
      <c r="E27" s="27"/>
      <c r="F27" s="27" t="s">
        <v>76</v>
      </c>
      <c r="G27" s="27" t="s">
        <v>88</v>
      </c>
      <c r="H27" s="28">
        <v>3000</v>
      </c>
      <c r="I27" s="28"/>
      <c r="J27" s="28"/>
      <c r="K27" s="28">
        <f>Table1[[#This Row],[Valor de la Factura del Cliente]]*0.2*-1</f>
        <v>-600</v>
      </c>
      <c r="L27" s="28">
        <f>Table1[[#This Row],[Valor de la Factura del Cliente]]*0.05*-1</f>
        <v>-150</v>
      </c>
      <c r="M27" s="28"/>
      <c r="N27" s="28"/>
      <c r="O27" s="28"/>
      <c r="P27" s="29">
        <f>SUM(Table1[[#This Row],[Valor de la Factura del Cliente]:[Avance]])+P26</f>
        <v>5939</v>
      </c>
    </row>
    <row r="28" spans="2:16" s="12" customFormat="1" ht="36" x14ac:dyDescent="0.25">
      <c r="B28" s="47">
        <v>44707</v>
      </c>
      <c r="C28" s="27"/>
      <c r="D28" s="27"/>
      <c r="E28" s="27"/>
      <c r="F28" s="27" t="s">
        <v>89</v>
      </c>
      <c r="G28" s="27" t="s">
        <v>90</v>
      </c>
      <c r="H28" s="28">
        <v>2500</v>
      </c>
      <c r="I28" s="28"/>
      <c r="J28" s="28"/>
      <c r="K28" s="28">
        <f>Table1[[#This Row],[Valor de la Factura del Cliente]]*0.2*-1</f>
        <v>-500</v>
      </c>
      <c r="L28" s="28">
        <f>Table1[[#This Row],[Valor de la Factura del Cliente]]*0.05*-1</f>
        <v>-125</v>
      </c>
      <c r="M28" s="28"/>
      <c r="N28" s="28"/>
      <c r="O28" s="28"/>
      <c r="P28" s="29">
        <f>SUM(Table1[[#This Row],[Valor de la Factura del Cliente]:[Avance]])+P27</f>
        <v>7814</v>
      </c>
    </row>
    <row r="29" spans="2:16" s="12" customFormat="1" ht="36" x14ac:dyDescent="0.25">
      <c r="B29" s="47"/>
      <c r="C29" s="27"/>
      <c r="D29" s="27"/>
      <c r="E29" s="27"/>
      <c r="F29" s="27"/>
      <c r="G29" s="27" t="s">
        <v>91</v>
      </c>
      <c r="H29" s="28"/>
      <c r="I29" s="28"/>
      <c r="J29" s="28"/>
      <c r="K29" s="28">
        <f>Table1[[#This Row],[Valor de la Factura del Cliente]]*0.2*-1</f>
        <v>0</v>
      </c>
      <c r="L29" s="28">
        <f>Table1[[#This Row],[Valor de la Factura del Cliente]]*0.05*-1</f>
        <v>0</v>
      </c>
      <c r="M29" s="28"/>
      <c r="N29" s="28">
        <v>-3090</v>
      </c>
      <c r="O29" s="28"/>
      <c r="P29" s="29">
        <f>SUM(Table1[[#This Row],[Valor de la Factura del Cliente]:[Avance]])+P28</f>
        <v>4724</v>
      </c>
    </row>
    <row r="30" spans="2:16" s="12" customFormat="1" x14ac:dyDescent="0.25">
      <c r="B30" s="47"/>
      <c r="C30" s="27"/>
      <c r="D30" s="27"/>
      <c r="E30" s="27"/>
      <c r="F30" s="27"/>
      <c r="G30" s="27" t="s">
        <v>92</v>
      </c>
      <c r="H30" s="28"/>
      <c r="I30" s="28"/>
      <c r="J30" s="28"/>
      <c r="K30" s="28">
        <f>Table1[[#This Row],[Valor de la Factura del Cliente]]*0.2*-1</f>
        <v>0</v>
      </c>
      <c r="L30" s="28">
        <f>Table1[[#This Row],[Valor de la Factura del Cliente]]*0.05*-1</f>
        <v>0</v>
      </c>
      <c r="M30" s="28"/>
      <c r="N30" s="28">
        <v>-3529.93</v>
      </c>
      <c r="O30" s="28"/>
      <c r="P30" s="29">
        <f>SUM(Table1[[#This Row],[Valor de la Factura del Cliente]:[Avance]])+P29</f>
        <v>1194.0700000000002</v>
      </c>
    </row>
    <row r="31" spans="2:16" s="12" customFormat="1" x14ac:dyDescent="0.25">
      <c r="B31" s="47">
        <v>45099</v>
      </c>
      <c r="C31" s="27"/>
      <c r="D31" s="27"/>
      <c r="E31" s="27"/>
      <c r="F31" s="27" t="s">
        <v>93</v>
      </c>
      <c r="G31" s="27" t="s">
        <v>355</v>
      </c>
      <c r="H31" s="28">
        <v>3253.5050000000001</v>
      </c>
      <c r="I31" s="28"/>
      <c r="J31" s="28"/>
      <c r="K31" s="28"/>
      <c r="L31" s="28"/>
      <c r="M31" s="28"/>
      <c r="N31" s="28"/>
      <c r="O31" s="28"/>
      <c r="P31" s="29">
        <f>SUM(Table1[[#This Row],[Valor de la Factura del Cliente]:[Avance]])+P30</f>
        <v>4447.5750000000007</v>
      </c>
    </row>
    <row r="32" spans="2:16" s="12" customFormat="1" x14ac:dyDescent="0.25">
      <c r="B32" s="47">
        <v>45093</v>
      </c>
      <c r="C32" s="27"/>
      <c r="D32" s="27"/>
      <c r="E32" s="27"/>
      <c r="F32" s="27" t="s">
        <v>94</v>
      </c>
      <c r="G32" s="27" t="s">
        <v>95</v>
      </c>
      <c r="H32" s="28">
        <v>11757.77</v>
      </c>
      <c r="I32" s="28"/>
      <c r="J32" s="28"/>
      <c r="K32" s="28">
        <f>Table1[[#This Row],[Valor de la Factura del Cliente]]*0.2*-1</f>
        <v>-2351.5540000000001</v>
      </c>
      <c r="L32" s="28">
        <f>Table1[[#This Row],[Valor de la Factura del Cliente]]*0.05*-1</f>
        <v>-587.88850000000002</v>
      </c>
      <c r="M32" s="28"/>
      <c r="N32" s="28"/>
      <c r="O32" s="28"/>
      <c r="P32" s="29">
        <f>SUM(Table1[[#This Row],[Valor de la Factura del Cliente]:[Avance]])+P31</f>
        <v>13265.9025</v>
      </c>
    </row>
    <row r="33" spans="2:16" s="12" customFormat="1" x14ac:dyDescent="0.25">
      <c r="B33" s="47">
        <v>44769</v>
      </c>
      <c r="C33" s="27"/>
      <c r="D33" s="27"/>
      <c r="E33" s="27"/>
      <c r="F33" s="27" t="s">
        <v>96</v>
      </c>
      <c r="G33" s="27"/>
      <c r="H33" s="28"/>
      <c r="I33" s="28"/>
      <c r="J33" s="28"/>
      <c r="K33" s="28">
        <f>Table1[[#This Row],[Valor de la Factura del Cliente]]*0.2*-1</f>
        <v>0</v>
      </c>
      <c r="L33" s="28">
        <f>Table1[[#This Row],[Valor de la Factura del Cliente]]*0.05*-1</f>
        <v>0</v>
      </c>
      <c r="M33" s="28"/>
      <c r="N33" s="28">
        <v>-3561.09</v>
      </c>
      <c r="O33" s="28"/>
      <c r="P33" s="29">
        <f>SUM(Table1[[#This Row],[Valor de la Factura del Cliente]:[Avance]])+P32</f>
        <v>9704.8125</v>
      </c>
    </row>
    <row r="34" spans="2:16" s="12" customFormat="1" x14ac:dyDescent="0.25">
      <c r="B34" s="47">
        <v>44866</v>
      </c>
      <c r="C34" s="27"/>
      <c r="D34" s="27"/>
      <c r="E34" s="27"/>
      <c r="F34" s="27" t="s">
        <v>59</v>
      </c>
      <c r="G34" s="27" t="s">
        <v>97</v>
      </c>
      <c r="H34" s="28"/>
      <c r="I34" s="28"/>
      <c r="J34" s="28"/>
      <c r="K34" s="28">
        <f>Table1[[#This Row],[Valor de la Factura del Cliente]]*0.2*-1</f>
        <v>0</v>
      </c>
      <c r="L34" s="28">
        <f>Table1[[#This Row],[Valor de la Factura del Cliente]]*0.05*-1</f>
        <v>0</v>
      </c>
      <c r="M34" s="28"/>
      <c r="N34" s="28">
        <v>-2145</v>
      </c>
      <c r="O34" s="28"/>
      <c r="P34" s="29">
        <f>SUM(Table1[[#This Row],[Valor de la Factura del Cliente]:[Avance]])+P33</f>
        <v>7559.8125</v>
      </c>
    </row>
    <row r="35" spans="2:16" s="12" customFormat="1" x14ac:dyDescent="0.25">
      <c r="B35" s="47">
        <v>44873</v>
      </c>
      <c r="C35" s="27"/>
      <c r="D35" s="27"/>
      <c r="E35" s="27"/>
      <c r="F35" s="27" t="s">
        <v>98</v>
      </c>
      <c r="G35" s="27"/>
      <c r="H35" s="28">
        <v>11800</v>
      </c>
      <c r="I35" s="28"/>
      <c r="J35" s="28"/>
      <c r="K35" s="28">
        <f>Table1[[#This Row],[Valor de la Factura del Cliente]]*0.2*-1</f>
        <v>-2360</v>
      </c>
      <c r="L35" s="28">
        <f>Table1[[#This Row],[Valor de la Factura del Cliente]]*0.05*-1</f>
        <v>-590</v>
      </c>
      <c r="M35" s="28">
        <v>-573.78</v>
      </c>
      <c r="N35" s="28"/>
      <c r="O35" s="28"/>
      <c r="P35" s="29">
        <f>SUM(Table1[[#This Row],[Valor de la Factura del Cliente]:[Avance]])+P34</f>
        <v>15836.032499999999</v>
      </c>
    </row>
    <row r="36" spans="2:16" s="12" customFormat="1" ht="36" x14ac:dyDescent="0.25">
      <c r="B36" s="47">
        <v>44999</v>
      </c>
      <c r="C36" s="27"/>
      <c r="D36" s="27"/>
      <c r="E36" s="27"/>
      <c r="F36" s="27" t="s">
        <v>99</v>
      </c>
      <c r="G36" s="27" t="s">
        <v>97</v>
      </c>
      <c r="H36" s="28"/>
      <c r="I36" s="28"/>
      <c r="J36" s="28"/>
      <c r="K36" s="28">
        <f>Table1[[#This Row],[Valor de la Factura del Cliente]]*0.2*-1</f>
        <v>0</v>
      </c>
      <c r="L36" s="28">
        <f>Table1[[#This Row],[Valor de la Factura del Cliente]]*0.05*-1</f>
        <v>0</v>
      </c>
      <c r="M36" s="28"/>
      <c r="N36" s="28">
        <v>-4194.3999999999996</v>
      </c>
      <c r="O36" s="28"/>
      <c r="P36" s="29">
        <f>SUM(Table1[[#This Row],[Valor de la Factura del Cliente]:[Avance]])+P35</f>
        <v>11641.6325</v>
      </c>
    </row>
    <row r="37" spans="2:16" s="12" customFormat="1" x14ac:dyDescent="0.25">
      <c r="B37" s="47">
        <v>45007</v>
      </c>
      <c r="C37" s="27"/>
      <c r="D37" s="27"/>
      <c r="E37" s="27"/>
      <c r="F37" s="27" t="s">
        <v>59</v>
      </c>
      <c r="G37" s="27" t="s">
        <v>97</v>
      </c>
      <c r="H37" s="28"/>
      <c r="I37" s="28"/>
      <c r="J37" s="28"/>
      <c r="K37" s="28">
        <f>Table1[[#This Row],[Valor de la Factura del Cliente]]*0.2*-1</f>
        <v>0</v>
      </c>
      <c r="L37" s="28">
        <f>Table1[[#This Row],[Valor de la Factura del Cliente]]*0.05*-1</f>
        <v>0</v>
      </c>
      <c r="M37" s="28"/>
      <c r="N37" s="28">
        <v>-3148.58</v>
      </c>
      <c r="O37" s="28"/>
      <c r="P37" s="29">
        <f>SUM(Table1[[#This Row],[Valor de la Factura del Cliente]:[Avance]])+P36</f>
        <v>8493.0524999999998</v>
      </c>
    </row>
    <row r="38" spans="2:16" s="12" customFormat="1" x14ac:dyDescent="0.25">
      <c r="B38" s="47">
        <v>45068</v>
      </c>
      <c r="C38" s="27"/>
      <c r="D38" s="27"/>
      <c r="E38" s="27"/>
      <c r="F38" s="27" t="s">
        <v>59</v>
      </c>
      <c r="G38" s="27" t="s">
        <v>100</v>
      </c>
      <c r="H38" s="28">
        <v>8000</v>
      </c>
      <c r="I38" s="28">
        <v>-25</v>
      </c>
      <c r="J38" s="28"/>
      <c r="K38" s="28">
        <f>Table1[[#This Row],[Valor de la Factura del Cliente]]*0.2*-1</f>
        <v>-1600</v>
      </c>
      <c r="L38" s="28">
        <f>Table1[[#This Row],[Valor de la Factura del Cliente]]*0.05*-1</f>
        <v>-400</v>
      </c>
      <c r="M38" s="28"/>
      <c r="N38" s="28"/>
      <c r="O38" s="28"/>
      <c r="P38" s="29">
        <f>SUM(Table1[[#This Row],[Valor de la Factura del Cliente]:[Avance]])+P37</f>
        <v>14468.0525</v>
      </c>
    </row>
    <row r="39" spans="2:16" s="12" customFormat="1" ht="36" x14ac:dyDescent="0.25">
      <c r="B39" s="47">
        <v>45071</v>
      </c>
      <c r="C39" s="27"/>
      <c r="D39" s="27"/>
      <c r="E39" s="27"/>
      <c r="F39" s="27" t="s">
        <v>99</v>
      </c>
      <c r="G39" s="27"/>
      <c r="H39" s="28"/>
      <c r="I39" s="28"/>
      <c r="J39" s="28"/>
      <c r="K39" s="28">
        <f>Table1[[#This Row],[Valor de la Factura del Cliente]]*0.2*-1</f>
        <v>0</v>
      </c>
      <c r="L39" s="28">
        <f>Table1[[#This Row],[Valor de la Factura del Cliente]]*0.05*-1</f>
        <v>0</v>
      </c>
      <c r="M39" s="28"/>
      <c r="N39" s="28">
        <v>-3849.86</v>
      </c>
      <c r="O39" s="28"/>
      <c r="P39" s="29">
        <f>SUM(Table1[[#This Row],[Valor de la Factura del Cliente]:[Avance]])+P38</f>
        <v>10618.192499999999</v>
      </c>
    </row>
    <row r="40" spans="2:16" s="12" customFormat="1" x14ac:dyDescent="0.25">
      <c r="B40" s="47">
        <v>45077</v>
      </c>
      <c r="C40" s="27"/>
      <c r="D40" s="27"/>
      <c r="E40" s="27"/>
      <c r="F40" s="27" t="s">
        <v>59</v>
      </c>
      <c r="G40" s="27" t="s">
        <v>101</v>
      </c>
      <c r="H40" s="28">
        <v>5000</v>
      </c>
      <c r="I40" s="28">
        <v>-25</v>
      </c>
      <c r="J40" s="28"/>
      <c r="K40" s="28">
        <f>Table1[[#This Row],[Valor de la Factura del Cliente]]*0.2*-1</f>
        <v>-1000</v>
      </c>
      <c r="L40" s="28">
        <f>Table1[[#This Row],[Valor de la Factura del Cliente]]*0.05*-1</f>
        <v>-250</v>
      </c>
      <c r="M40" s="28"/>
      <c r="N40" s="28"/>
      <c r="O40" s="28"/>
      <c r="P40" s="29">
        <f>SUM(Table1[[#This Row],[Valor de la Factura del Cliente]:[Avance]])+P39</f>
        <v>14343.192499999999</v>
      </c>
    </row>
    <row r="41" spans="2:16" s="12" customFormat="1" x14ac:dyDescent="0.25">
      <c r="B41" s="47">
        <v>45099</v>
      </c>
      <c r="C41" s="27"/>
      <c r="D41" s="27"/>
      <c r="E41" s="27"/>
      <c r="F41" s="27" t="s">
        <v>59</v>
      </c>
      <c r="G41" s="27" t="s">
        <v>102</v>
      </c>
      <c r="H41" s="28"/>
      <c r="I41" s="28"/>
      <c r="J41" s="28"/>
      <c r="K41" s="28">
        <f>Table1[[#This Row],[Valor de la Factura del Cliente]]*0.2*-1</f>
        <v>0</v>
      </c>
      <c r="L41" s="28">
        <f>Table1[[#This Row],[Valor de la Factura del Cliente]]*0.05*-1</f>
        <v>0</v>
      </c>
      <c r="M41" s="28"/>
      <c r="N41" s="28">
        <v>-4405.66</v>
      </c>
      <c r="O41" s="28"/>
      <c r="P41" s="29">
        <f>SUM(Table1[[#This Row],[Valor de la Factura del Cliente]:[Avance]])+P40</f>
        <v>9937.5324999999993</v>
      </c>
    </row>
    <row r="42" spans="2:16" s="12" customFormat="1" x14ac:dyDescent="0.25">
      <c r="B42" s="47">
        <v>45184</v>
      </c>
      <c r="C42" s="27"/>
      <c r="D42" s="27"/>
      <c r="E42" s="27"/>
      <c r="F42" s="27" t="s">
        <v>59</v>
      </c>
      <c r="G42" s="27" t="s">
        <v>103</v>
      </c>
      <c r="H42" s="28"/>
      <c r="I42" s="28"/>
      <c r="J42" s="28"/>
      <c r="K42" s="28">
        <f>Table1[[#This Row],[Valor de la Factura del Cliente]]*0.2*-1</f>
        <v>0</v>
      </c>
      <c r="L42" s="28">
        <f>Table1[[#This Row],[Valor de la Factura del Cliente]]*0.05*-1</f>
        <v>0</v>
      </c>
      <c r="M42" s="28"/>
      <c r="N42" s="28">
        <v>-800</v>
      </c>
      <c r="O42" s="28"/>
      <c r="P42" s="29">
        <f>SUM(Table1[[#This Row],[Valor de la Factura del Cliente]:[Avance]])+P41</f>
        <v>9137.5324999999993</v>
      </c>
    </row>
    <row r="43" spans="2:16" s="12" customFormat="1" x14ac:dyDescent="0.25">
      <c r="B43" s="47">
        <v>45252</v>
      </c>
      <c r="C43" s="27"/>
      <c r="D43" s="27"/>
      <c r="E43" s="27"/>
      <c r="F43" s="27" t="s">
        <v>59</v>
      </c>
      <c r="G43" s="27" t="s">
        <v>104</v>
      </c>
      <c r="H43" s="28"/>
      <c r="I43" s="28">
        <v>-25</v>
      </c>
      <c r="J43" s="28"/>
      <c r="K43" s="28">
        <f>Table1[[#This Row],[Valor de la Factura del Cliente]]*0.2*-1</f>
        <v>0</v>
      </c>
      <c r="L43" s="28">
        <f>Table1[[#This Row],[Valor de la Factura del Cliente]]*0.05*-1</f>
        <v>0</v>
      </c>
      <c r="M43" s="28"/>
      <c r="N43" s="28">
        <v>-1518</v>
      </c>
      <c r="O43" s="28"/>
      <c r="P43" s="29">
        <f>SUM(Table1[[#This Row],[Valor de la Factura del Cliente]:[Avance]])+P42</f>
        <v>7594.5324999999993</v>
      </c>
    </row>
    <row r="44" spans="2:16" s="12" customFormat="1" x14ac:dyDescent="0.25">
      <c r="B44" s="47">
        <v>45288</v>
      </c>
      <c r="C44" s="27"/>
      <c r="D44" s="27"/>
      <c r="E44" s="27"/>
      <c r="F44" s="27" t="s">
        <v>59</v>
      </c>
      <c r="G44" s="27" t="s">
        <v>102</v>
      </c>
      <c r="H44" s="28"/>
      <c r="I44" s="28"/>
      <c r="J44" s="28"/>
      <c r="K44" s="28">
        <f>Table1[[#This Row],[Valor de la Factura del Cliente]]*0.2*-1</f>
        <v>0</v>
      </c>
      <c r="L44" s="28">
        <f>Table1[[#This Row],[Valor de la Factura del Cliente]]*0.05*-1</f>
        <v>0</v>
      </c>
      <c r="M44" s="28"/>
      <c r="N44" s="28">
        <v>-500</v>
      </c>
      <c r="O44" s="28"/>
      <c r="P44" s="29">
        <f>SUM(Table1[[#This Row],[Valor de la Factura del Cliente]:[Avance]])+P43</f>
        <v>7094.5324999999993</v>
      </c>
    </row>
    <row r="45" spans="2:16" s="12" customFormat="1" x14ac:dyDescent="0.25">
      <c r="B45" s="47">
        <v>45309</v>
      </c>
      <c r="C45" s="27"/>
      <c r="D45" s="27"/>
      <c r="E45" s="27"/>
      <c r="F45" s="27" t="s">
        <v>59</v>
      </c>
      <c r="G45" s="27" t="s">
        <v>102</v>
      </c>
      <c r="H45" s="28"/>
      <c r="I45" s="28"/>
      <c r="J45" s="28"/>
      <c r="K45" s="28">
        <f>Table1[[#This Row],[Valor de la Factura del Cliente]]*0.2*-1</f>
        <v>0</v>
      </c>
      <c r="L45" s="28">
        <f>Table1[[#This Row],[Valor de la Factura del Cliente]]*0.05*-1</f>
        <v>0</v>
      </c>
      <c r="M45" s="28"/>
      <c r="N45" s="28">
        <v>-3723.5</v>
      </c>
      <c r="O45" s="28"/>
      <c r="P45" s="29">
        <f>SUM(Table1[[#This Row],[Valor de la Factura del Cliente]:[Avance]])+P44</f>
        <v>3371.0324999999993</v>
      </c>
    </row>
    <row r="46" spans="2:16" s="12" customFormat="1" x14ac:dyDescent="0.25">
      <c r="B46" s="48">
        <v>45310</v>
      </c>
      <c r="C46" s="30"/>
      <c r="D46" s="30"/>
      <c r="E46" s="30"/>
      <c r="F46" s="30" t="s">
        <v>59</v>
      </c>
      <c r="G46" s="30" t="s">
        <v>105</v>
      </c>
      <c r="H46" s="31">
        <v>3849.86</v>
      </c>
      <c r="I46" s="31"/>
      <c r="J46" s="31"/>
      <c r="K46" s="31"/>
      <c r="L46" s="31"/>
      <c r="M46" s="31"/>
      <c r="N46" s="31"/>
      <c r="O46" s="31"/>
      <c r="P46" s="32">
        <f>SUM(Table1[[#This Row],[Valor de la Factura del Cliente]:[Avance]])+P45</f>
        <v>7220.8924999999999</v>
      </c>
    </row>
    <row r="47" spans="2:16" s="33" customFormat="1" x14ac:dyDescent="0.25">
      <c r="B47" s="47">
        <v>45354</v>
      </c>
      <c r="C47" s="27"/>
      <c r="D47" s="27"/>
      <c r="E47" s="27"/>
      <c r="F47" s="27" t="s">
        <v>59</v>
      </c>
      <c r="G47" s="27" t="s">
        <v>102</v>
      </c>
      <c r="H47" s="28"/>
      <c r="I47" s="28"/>
      <c r="J47" s="28"/>
      <c r="K47" s="28">
        <f>Table1[[#This Row],[Valor de la Factura del Cliente]]*0.2*-1</f>
        <v>0</v>
      </c>
      <c r="L47" s="28">
        <f>Table1[[#This Row],[Valor de la Factura del Cliente]]*0.05*-1</f>
        <v>0</v>
      </c>
      <c r="M47" s="28"/>
      <c r="N47" s="28">
        <v>-3000</v>
      </c>
      <c r="O47" s="28"/>
      <c r="P47" s="29">
        <f>SUM(Table1[[#This Row],[Valor de la Factura del Cliente]:[Avance]])+P46</f>
        <v>4220.8924999999999</v>
      </c>
    </row>
    <row r="48" spans="2:16" s="12" customFormat="1" x14ac:dyDescent="0.25">
      <c r="B48" s="47">
        <v>45369</v>
      </c>
      <c r="C48" s="27"/>
      <c r="D48" s="27"/>
      <c r="E48" s="27"/>
      <c r="F48" s="27" t="s">
        <v>59</v>
      </c>
      <c r="G48" s="27" t="s">
        <v>102</v>
      </c>
      <c r="H48" s="28"/>
      <c r="I48" s="28"/>
      <c r="J48" s="28"/>
      <c r="K48" s="28">
        <f>Table1[[#This Row],[Valor de la Factura del Cliente]]*0.2*-1</f>
        <v>0</v>
      </c>
      <c r="L48" s="28">
        <f>Table1[[#This Row],[Valor de la Factura del Cliente]]*0.05*-1</f>
        <v>0</v>
      </c>
      <c r="M48" s="28"/>
      <c r="N48" s="28">
        <v>-966.81</v>
      </c>
      <c r="O48" s="28"/>
      <c r="P48" s="29">
        <f>SUM(Table1[[#This Row],[Valor de la Factura del Cliente]:[Avance]])+P47</f>
        <v>3254.0825</v>
      </c>
    </row>
    <row r="49" spans="2:16" s="12" customFormat="1" x14ac:dyDescent="0.25">
      <c r="B49" s="47">
        <v>45370</v>
      </c>
      <c r="C49" s="27"/>
      <c r="D49" s="27"/>
      <c r="E49" s="27"/>
      <c r="F49" s="27" t="s">
        <v>59</v>
      </c>
      <c r="G49" s="27" t="s">
        <v>106</v>
      </c>
      <c r="H49" s="28">
        <v>400</v>
      </c>
      <c r="I49" s="28">
        <v>-15</v>
      </c>
      <c r="J49" s="28"/>
      <c r="K49" s="28">
        <f>Table1[[#This Row],[Valor de la Factura del Cliente]]*0.2*-1</f>
        <v>-80</v>
      </c>
      <c r="L49" s="28">
        <f>Table1[[#This Row],[Valor de la Factura del Cliente]]*0.05*-1</f>
        <v>-20</v>
      </c>
      <c r="M49" s="28"/>
      <c r="N49" s="28"/>
      <c r="O49" s="28"/>
      <c r="P49" s="29">
        <f>SUM(Table1[[#This Row],[Valor de la Factura del Cliente]:[Avance]])+P48</f>
        <v>3539.0825</v>
      </c>
    </row>
    <row r="50" spans="2:16" s="12" customFormat="1" x14ac:dyDescent="0.25">
      <c r="B50" s="47">
        <v>45371</v>
      </c>
      <c r="C50" s="27"/>
      <c r="D50" s="27"/>
      <c r="E50" s="27"/>
      <c r="F50" s="27" t="s">
        <v>59</v>
      </c>
      <c r="G50" s="27" t="s">
        <v>106</v>
      </c>
      <c r="H50" s="28">
        <v>0</v>
      </c>
      <c r="I50" s="28">
        <v>0</v>
      </c>
      <c r="J50" s="28"/>
      <c r="K50" s="28">
        <f>Table1[[#This Row],[Valor de la Factura del Cliente]]*0.2*-1</f>
        <v>0</v>
      </c>
      <c r="L50" s="28">
        <f>Table1[[#This Row],[Valor de la Factura del Cliente]]*0.05*-1</f>
        <v>0</v>
      </c>
      <c r="M50" s="28"/>
      <c r="N50" s="28">
        <v>-848.6</v>
      </c>
      <c r="O50" s="28"/>
      <c r="P50" s="29">
        <f>SUM(Table1[[#This Row],[Valor de la Factura del Cliente]:[Avance]])+P49</f>
        <v>2690.4825000000001</v>
      </c>
    </row>
    <row r="51" spans="2:16" s="12" customFormat="1" x14ac:dyDescent="0.25">
      <c r="B51" s="47">
        <v>45444</v>
      </c>
      <c r="C51" s="27"/>
      <c r="D51" s="27"/>
      <c r="E51" s="27"/>
      <c r="F51" s="27" t="s">
        <v>59</v>
      </c>
      <c r="G51" s="27" t="s">
        <v>107</v>
      </c>
      <c r="H51" s="28">
        <v>0</v>
      </c>
      <c r="I51" s="28">
        <v>0</v>
      </c>
      <c r="J51" s="28"/>
      <c r="K51" s="28">
        <f>Table1[[#This Row],[Valor de la Factura del Cliente]]*0.2*-1</f>
        <v>0</v>
      </c>
      <c r="L51" s="28">
        <f>Table1[[#This Row],[Valor de la Factura del Cliente]]*0.05*-1</f>
        <v>0</v>
      </c>
      <c r="M51" s="28"/>
      <c r="N51" s="28">
        <v>-131</v>
      </c>
      <c r="O51" s="28"/>
      <c r="P51" s="29">
        <f>SUM(Table1[[#This Row],[Valor de la Factura del Cliente]:[Avance]])+P50</f>
        <v>2559.4825000000001</v>
      </c>
    </row>
    <row r="52" spans="2:16" s="12" customFormat="1" x14ac:dyDescent="0.25">
      <c r="B52" s="47">
        <v>45463</v>
      </c>
      <c r="C52" s="27"/>
      <c r="D52" s="27"/>
      <c r="E52" s="27"/>
      <c r="F52" s="27" t="s">
        <v>59</v>
      </c>
      <c r="G52" s="27" t="s">
        <v>107</v>
      </c>
      <c r="H52" s="28">
        <v>0</v>
      </c>
      <c r="I52" s="28">
        <v>0</v>
      </c>
      <c r="J52" s="28"/>
      <c r="K52" s="28">
        <f>Table1[[#This Row],[Valor de la Factura del Cliente]]*0.2*-1</f>
        <v>0</v>
      </c>
      <c r="L52" s="28">
        <f>Table1[[#This Row],[Valor de la Factura del Cliente]]*0.05*-1</f>
        <v>0</v>
      </c>
      <c r="M52" s="28"/>
      <c r="N52" s="28">
        <v>-2000</v>
      </c>
      <c r="O52" s="28"/>
      <c r="P52" s="29">
        <f>SUM(Table1[[#This Row],[Valor de la Factura del Cliente]:[Avance]])+P51</f>
        <v>559.48250000000007</v>
      </c>
    </row>
    <row r="53" spans="2:16" s="12" customFormat="1" x14ac:dyDescent="0.25">
      <c r="B53" s="47">
        <v>45677</v>
      </c>
      <c r="C53" s="27"/>
      <c r="D53" s="27"/>
      <c r="E53" s="27"/>
      <c r="F53" s="27" t="s">
        <v>59</v>
      </c>
      <c r="G53" s="27" t="s">
        <v>107</v>
      </c>
      <c r="H53" s="28">
        <v>0</v>
      </c>
      <c r="I53" s="28">
        <v>0</v>
      </c>
      <c r="J53" s="28"/>
      <c r="K53" s="28">
        <f>Table1[[#This Row],[Valor de la Factura del Cliente]]*0.2*-1</f>
        <v>0</v>
      </c>
      <c r="L53" s="28">
        <f>Table1[[#This Row],[Valor de la Factura del Cliente]]*0.05*-1</f>
        <v>0</v>
      </c>
      <c r="M53" s="28"/>
      <c r="N53" s="28">
        <v>-754.99</v>
      </c>
      <c r="O53" s="28"/>
      <c r="P53" s="29">
        <f>SUM(Table1[[#This Row],[Valor de la Factura del Cliente]:[Avance]])+P52</f>
        <v>-195.50749999999994</v>
      </c>
    </row>
    <row r="54" spans="2:16" s="12" customFormat="1" x14ac:dyDescent="0.25">
      <c r="B54" s="47">
        <v>45692</v>
      </c>
      <c r="C54" s="27"/>
      <c r="D54" s="27"/>
      <c r="E54" s="27"/>
      <c r="F54" s="27" t="s">
        <v>59</v>
      </c>
      <c r="G54" s="27" t="s">
        <v>107</v>
      </c>
      <c r="H54" s="28">
        <v>0</v>
      </c>
      <c r="I54" s="28">
        <v>0</v>
      </c>
      <c r="J54" s="28"/>
      <c r="K54" s="28">
        <f>Table1[[#This Row],[Valor de la Factura del Cliente]]*0.2*-1</f>
        <v>0</v>
      </c>
      <c r="L54" s="28">
        <f>Table1[[#This Row],[Valor de la Factura del Cliente]]*0.05*-1</f>
        <v>0</v>
      </c>
      <c r="M54" s="28"/>
      <c r="N54" s="28">
        <v>-200</v>
      </c>
      <c r="O54" s="28"/>
      <c r="P54" s="29">
        <f>SUM(Table1[[#This Row],[Valor de la Factura del Cliente]:[Avance]])+P53</f>
        <v>-395.50749999999994</v>
      </c>
    </row>
    <row r="55" spans="2:16" s="12" customFormat="1" ht="36" x14ac:dyDescent="0.25">
      <c r="B55" s="47">
        <v>45784</v>
      </c>
      <c r="C55" s="27"/>
      <c r="D55" s="27"/>
      <c r="E55" s="27"/>
      <c r="F55" s="27" t="s">
        <v>72</v>
      </c>
      <c r="G55" s="27" t="s">
        <v>108</v>
      </c>
      <c r="H55" s="28">
        <v>400</v>
      </c>
      <c r="I55" s="28">
        <v>-15</v>
      </c>
      <c r="J55" s="28"/>
      <c r="K55" s="28">
        <f>Table1[[#This Row],[Valor de la Factura del Cliente]]*0.2*-1</f>
        <v>-80</v>
      </c>
      <c r="L55" s="28">
        <f>Table1[[#This Row],[Valor de la Factura del Cliente]]*0.05*-1</f>
        <v>-20</v>
      </c>
      <c r="M55" s="28"/>
      <c r="N55" s="28">
        <v>0</v>
      </c>
      <c r="O55" s="28"/>
      <c r="P55" s="29">
        <f>SUM(Table1[[#This Row],[Valor de la Factura del Cliente]:[Avance]])+P54</f>
        <v>-110.50749999999994</v>
      </c>
    </row>
    <row r="56" spans="2:16" s="12" customFormat="1" x14ac:dyDescent="0.25">
      <c r="B56" s="47">
        <v>45797</v>
      </c>
      <c r="C56" s="27"/>
      <c r="D56" s="27"/>
      <c r="E56" s="27"/>
      <c r="F56" s="27" t="s">
        <v>59</v>
      </c>
      <c r="G56" s="27" t="s">
        <v>107</v>
      </c>
      <c r="H56" s="28">
        <v>0</v>
      </c>
      <c r="I56" s="28">
        <v>0</v>
      </c>
      <c r="J56" s="28"/>
      <c r="K56" s="28">
        <f>Table1[[#This Row],[Valor de la Factura del Cliente]]*0.2*-1</f>
        <v>0</v>
      </c>
      <c r="L56" s="28">
        <f>Table1[[#This Row],[Valor de la Factura del Cliente]]*0.05*-1</f>
        <v>0</v>
      </c>
      <c r="M56" s="28"/>
      <c r="N56" s="28">
        <v>-249.99</v>
      </c>
      <c r="O56" s="28"/>
      <c r="P56" s="29">
        <f>SUM(Table1[[#This Row],[Valor de la Factura del Cliente]:[Avance]])+P55</f>
        <v>-360.49749999999995</v>
      </c>
    </row>
    <row r="57" spans="2:16" s="12" customFormat="1" ht="36" x14ac:dyDescent="0.25">
      <c r="B57" s="47">
        <v>45804</v>
      </c>
      <c r="C57" s="27"/>
      <c r="D57" s="27"/>
      <c r="E57" s="27"/>
      <c r="F57" s="27" t="s">
        <v>109</v>
      </c>
      <c r="G57" s="27" t="s">
        <v>110</v>
      </c>
      <c r="H57" s="28">
        <v>800</v>
      </c>
      <c r="I57" s="28">
        <v>-42.299999999999955</v>
      </c>
      <c r="J57" s="28"/>
      <c r="K57" s="28">
        <f>Table1[[#This Row],[Valor de la Factura del Cliente]]*0.2*-1</f>
        <v>-160</v>
      </c>
      <c r="L57" s="28">
        <f>Table1[[#This Row],[Valor de la Factura del Cliente]]*0.05*-1</f>
        <v>-40</v>
      </c>
      <c r="M57" s="28"/>
      <c r="N57" s="28">
        <v>0</v>
      </c>
      <c r="O57" s="28"/>
      <c r="P57" s="29">
        <f>SUM(Table1[[#This Row],[Valor de la Factura del Cliente]:[Avance]])+P56</f>
        <v>197.2025000000001</v>
      </c>
    </row>
    <row r="58" spans="2:16" s="12" customFormat="1" ht="36" x14ac:dyDescent="0.25">
      <c r="B58" s="47">
        <v>45805</v>
      </c>
      <c r="C58" s="27"/>
      <c r="D58" s="27"/>
      <c r="E58" s="27"/>
      <c r="F58" s="27" t="s">
        <v>111</v>
      </c>
      <c r="G58" s="27" t="s">
        <v>112</v>
      </c>
      <c r="H58" s="28">
        <v>2500</v>
      </c>
      <c r="I58" s="28">
        <v>-92</v>
      </c>
      <c r="J58" s="28"/>
      <c r="K58" s="28">
        <f>Table1[[#This Row],[Valor de la Factura del Cliente]]*0.2*-1</f>
        <v>-500</v>
      </c>
      <c r="L58" s="28">
        <f>Table1[[#This Row],[Valor de la Factura del Cliente]]*0.05*-1</f>
        <v>-125</v>
      </c>
      <c r="M58" s="28"/>
      <c r="N58" s="28">
        <v>0</v>
      </c>
      <c r="O58" s="28"/>
      <c r="P58" s="29">
        <f>SUM(Table1[[#This Row],[Valor de la Factura del Cliente]:[Avance]])+P57</f>
        <v>1980.2025000000001</v>
      </c>
    </row>
    <row r="59" spans="2:16" s="12" customFormat="1" x14ac:dyDescent="0.25">
      <c r="B59" s="47">
        <v>45810</v>
      </c>
      <c r="C59" s="27"/>
      <c r="D59" s="27"/>
      <c r="E59" s="27"/>
      <c r="F59" s="27" t="s">
        <v>59</v>
      </c>
      <c r="G59" s="27" t="s">
        <v>107</v>
      </c>
      <c r="H59" s="28">
        <v>0</v>
      </c>
      <c r="I59" s="28">
        <v>0</v>
      </c>
      <c r="J59" s="28"/>
      <c r="K59" s="28">
        <f>Table1[[#This Row],[Valor de la Factura del Cliente]]*0.2*-1</f>
        <v>0</v>
      </c>
      <c r="L59" s="28">
        <f>Table1[[#This Row],[Valor de la Factura del Cliente]]*0.05*-1</f>
        <v>0</v>
      </c>
      <c r="M59" s="28"/>
      <c r="N59" s="28">
        <v>-2458.2799999999997</v>
      </c>
      <c r="O59" s="28"/>
      <c r="P59" s="29">
        <f>SUM(Table1[[#This Row],[Valor de la Factura del Cliente]:[Avance]])+P58</f>
        <v>-478.07749999999965</v>
      </c>
    </row>
    <row r="60" spans="2:16" s="12" customFormat="1" ht="36" x14ac:dyDescent="0.25">
      <c r="B60" s="47">
        <v>45814</v>
      </c>
      <c r="C60" s="27"/>
      <c r="D60" s="27"/>
      <c r="E60" s="27"/>
      <c r="F60" s="27" t="s">
        <v>113</v>
      </c>
      <c r="G60" s="27" t="s">
        <v>114</v>
      </c>
      <c r="H60" s="28">
        <v>1000</v>
      </c>
      <c r="I60" s="28">
        <v>-15</v>
      </c>
      <c r="J60" s="28"/>
      <c r="K60" s="28">
        <f>Table1[[#This Row],[Valor de la Factura del Cliente]]*0.2*-1</f>
        <v>-200</v>
      </c>
      <c r="L60" s="28">
        <f>Table1[[#This Row],[Valor de la Factura del Cliente]]*0.05*-1</f>
        <v>-50</v>
      </c>
      <c r="M60" s="28"/>
      <c r="N60" s="28">
        <v>0</v>
      </c>
      <c r="O60" s="28"/>
      <c r="P60" s="29">
        <f>SUM(Table1[[#This Row],[Valor de la Factura del Cliente]:[Avance]])+P59</f>
        <v>256.92250000000035</v>
      </c>
    </row>
    <row r="61" spans="2:16" s="12" customFormat="1" x14ac:dyDescent="0.25">
      <c r="B61" s="47">
        <v>45860</v>
      </c>
      <c r="C61" s="27"/>
      <c r="D61" s="27"/>
      <c r="E61" s="27"/>
      <c r="F61" s="27" t="s">
        <v>59</v>
      </c>
      <c r="G61" s="27" t="s">
        <v>107</v>
      </c>
      <c r="H61" s="28">
        <v>0</v>
      </c>
      <c r="I61" s="28">
        <v>0</v>
      </c>
      <c r="J61" s="28"/>
      <c r="K61" s="28">
        <f>Table1[[#This Row],[Valor de la Factura del Cliente]]*0.2*-1</f>
        <v>0</v>
      </c>
      <c r="L61" s="28">
        <f>Table1[[#This Row],[Valor de la Factura del Cliente]]*0.05*-1</f>
        <v>0</v>
      </c>
      <c r="M61" s="28"/>
      <c r="N61" s="28">
        <v>-254.99</v>
      </c>
      <c r="O61" s="28"/>
      <c r="P61" s="29">
        <f>SUM(Table1[[#This Row],[Valor de la Factura del Cliente]:[Avance]])+P60</f>
        <v>1.9325000000003456</v>
      </c>
    </row>
    <row r="62" spans="2:16" s="12" customFormat="1" ht="36" x14ac:dyDescent="0.25">
      <c r="B62" s="47">
        <v>45888</v>
      </c>
      <c r="C62" s="27"/>
      <c r="D62" s="27"/>
      <c r="E62" s="27"/>
      <c r="F62" s="27" t="s">
        <v>72</v>
      </c>
      <c r="G62" s="27" t="s">
        <v>115</v>
      </c>
      <c r="H62" s="28">
        <v>2250</v>
      </c>
      <c r="I62" s="28">
        <v>-15</v>
      </c>
      <c r="J62" s="28"/>
      <c r="K62" s="28">
        <f>Table1[[#This Row],[Valor de la Factura del Cliente]]*0.2*-1</f>
        <v>-450</v>
      </c>
      <c r="L62" s="28">
        <f>Table1[[#This Row],[Valor de la Factura del Cliente]]*0.05*-1</f>
        <v>-112.5</v>
      </c>
      <c r="M62" s="28"/>
      <c r="N62" s="28">
        <v>0</v>
      </c>
      <c r="O62" s="28"/>
      <c r="P62" s="29">
        <f>SUM(Table1[[#This Row],[Valor de la Factura del Cliente]:[Avance]])+P61</f>
        <v>1674.4325000000003</v>
      </c>
    </row>
    <row r="63" spans="2:16" s="12" customFormat="1" ht="36" x14ac:dyDescent="0.25">
      <c r="B63" s="47">
        <v>45901</v>
      </c>
      <c r="C63" s="27"/>
      <c r="D63" s="27"/>
      <c r="E63" s="27"/>
      <c r="F63" s="27" t="s">
        <v>72</v>
      </c>
      <c r="G63" s="27" t="s">
        <v>116</v>
      </c>
      <c r="H63" s="28">
        <v>2000</v>
      </c>
      <c r="I63" s="28">
        <v>-15</v>
      </c>
      <c r="J63" s="28"/>
      <c r="K63" s="28">
        <f>Table1[[#This Row],[Valor de la Factura del Cliente]]*0.2*-1</f>
        <v>-400</v>
      </c>
      <c r="L63" s="28">
        <f>Table1[[#This Row],[Valor de la Factura del Cliente]]*0.05*-1</f>
        <v>-100</v>
      </c>
      <c r="M63" s="28"/>
      <c r="N63" s="28">
        <v>0</v>
      </c>
      <c r="O63" s="28"/>
      <c r="P63" s="29">
        <f>SUM(Table1[[#This Row],[Valor de la Factura del Cliente]:[Avance]])+P62</f>
        <v>3159.4325000000003</v>
      </c>
    </row>
    <row r="64" spans="2:16" s="12" customFormat="1" x14ac:dyDescent="0.25">
      <c r="B64" s="47">
        <v>45920</v>
      </c>
      <c r="C64" s="27"/>
      <c r="D64" s="27"/>
      <c r="E64" s="27"/>
      <c r="F64" s="27" t="s">
        <v>117</v>
      </c>
      <c r="G64" s="27" t="s">
        <v>118</v>
      </c>
      <c r="H64" s="28">
        <v>1000</v>
      </c>
      <c r="I64" s="28">
        <v>0</v>
      </c>
      <c r="J64" s="28"/>
      <c r="K64" s="28">
        <f>Table1[[#This Row],[Valor de la Factura del Cliente]]*0.2*-1</f>
        <v>-200</v>
      </c>
      <c r="L64" s="28">
        <f>Table1[[#This Row],[Valor de la Factura del Cliente]]*0.05*-1</f>
        <v>-50</v>
      </c>
      <c r="M64" s="28"/>
      <c r="N64" s="28">
        <v>0</v>
      </c>
      <c r="O64" s="28"/>
      <c r="P64" s="29">
        <f>SUM(Table1[[#This Row],[Valor de la Factura del Cliente]:[Avance]])+P63</f>
        <v>3909.4325000000003</v>
      </c>
    </row>
    <row r="65" spans="2:16" s="12" customFormat="1" ht="18.75" thickBot="1" x14ac:dyDescent="0.3">
      <c r="B65" s="47">
        <v>45937</v>
      </c>
      <c r="C65" s="27"/>
      <c r="D65" s="27"/>
      <c r="E65" s="27"/>
      <c r="F65" s="27" t="s">
        <v>59</v>
      </c>
      <c r="G65" s="27" t="s">
        <v>107</v>
      </c>
      <c r="H65" s="28">
        <v>0</v>
      </c>
      <c r="I65" s="28">
        <v>-25</v>
      </c>
      <c r="J65" s="28"/>
      <c r="K65" s="28">
        <f>Table1[[#This Row],[Valor de la Factura del Cliente]]*0.2*-1</f>
        <v>0</v>
      </c>
      <c r="L65" s="28">
        <f>Table1[[#This Row],[Valor de la Factura del Cliente]]*0.05*-1</f>
        <v>0</v>
      </c>
      <c r="M65" s="28"/>
      <c r="N65" s="28">
        <v>-3159</v>
      </c>
      <c r="O65" s="28"/>
      <c r="P65" s="29">
        <f>SUM(Table1[[#This Row],[Valor de la Factura del Cliente]:[Avance]])+P64</f>
        <v>725.43250000000035</v>
      </c>
    </row>
    <row r="66" spans="2:16" ht="18.75" thickBot="1" x14ac:dyDescent="0.5">
      <c r="B66" s="22"/>
      <c r="C66" s="23"/>
      <c r="D66" s="23"/>
      <c r="E66" s="23"/>
      <c r="F66" s="23"/>
      <c r="G66" s="34" t="s">
        <v>356</v>
      </c>
      <c r="H66" s="35">
        <f>SUBTOTAL(109,Table1[Valor de la Factura del Cliente])</f>
        <v>77014.464999999997</v>
      </c>
      <c r="I66" s="35">
        <f>SUBTOTAL(109,Table1[Cargos Bancarios])</f>
        <v>-469.29999999999995</v>
      </c>
      <c r="J66" s="35"/>
      <c r="K66" s="35">
        <f>SUBTOTAL(109,Table1[20% Comisión])</f>
        <v>-13915.554</v>
      </c>
      <c r="L66" s="35">
        <f>SUBTOTAL(109,Table1[5% Legal])</f>
        <v>-3478.8885</v>
      </c>
      <c r="M66" s="35">
        <f>SUBTOTAL(109,Table1[Retención de Impuestos])</f>
        <v>-926.31</v>
      </c>
      <c r="N66" s="35">
        <f>SUBTOTAL(109,Table1[Pagado por MVPX])</f>
        <v>-57498.979999999996</v>
      </c>
      <c r="O66" s="35">
        <f>SUBTOTAL(109,Table1[Avance])</f>
        <v>0</v>
      </c>
      <c r="P66" s="36">
        <f>SUM(Table1[[#Totals],[Valor de la Factura del Cliente]:[Avance]])</f>
        <v>725.43249999999534</v>
      </c>
    </row>
  </sheetData>
  <mergeCells count="1">
    <mergeCell ref="B11:P11"/>
  </mergeCells>
  <hyperlinks>
    <hyperlink ref="O2" r:id="rId1" xr:uid="{294CE2F2-33BD-4C0A-8C5B-43F3661E8394}"/>
  </hyperlinks>
  <printOptions horizontalCentered="1"/>
  <pageMargins left="0.25" right="0.25" top="0.75" bottom="0.75" header="0.3" footer="0.3"/>
  <pageSetup scale="52" fitToHeight="0" orientation="landscape" r:id="rId2"/>
  <headerFooter>
    <oddFooter>&amp;LPublisher: Most Valuable Player X (BMI)
IPI: 01031373209&amp;CPage &amp;P of &amp;N</oddFooter>
  </headerFooter>
  <drawing r:id="rId3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2FDC-DB7E-4943-BCF8-A980F8388127}">
  <sheetPr>
    <pageSetUpPr fitToPage="1"/>
  </sheetPr>
  <dimension ref="B1:P90"/>
  <sheetViews>
    <sheetView showGridLines="0" view="pageLayout" zoomScale="85" zoomScaleNormal="100" zoomScaleSheetLayoutView="70" zoomScalePageLayoutView="85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40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26.25" thickBot="1" x14ac:dyDescent="0.5">
      <c r="H1" s="10"/>
      <c r="I1" s="10"/>
      <c r="J1" s="10"/>
      <c r="K1" s="10"/>
      <c r="L1" s="10"/>
      <c r="M1" s="10"/>
    </row>
    <row r="2" spans="2:16" ht="25.5" x14ac:dyDescent="0.45">
      <c r="B2" s="13" t="s">
        <v>352</v>
      </c>
      <c r="C2" s="14"/>
      <c r="D2" s="15"/>
      <c r="E2" s="14" t="str">
        <f>+'Base de datos'!B19</f>
        <v>Hache</v>
      </c>
      <c r="F2" s="14"/>
      <c r="G2" s="16"/>
      <c r="H2" s="10"/>
      <c r="I2" s="10"/>
      <c r="J2" s="10"/>
      <c r="K2" s="10"/>
      <c r="L2" s="10"/>
      <c r="M2" s="10"/>
    </row>
    <row r="3" spans="2:16" ht="25.5" x14ac:dyDescent="0.45">
      <c r="B3" s="17" t="s">
        <v>353</v>
      </c>
      <c r="E3" s="8" t="str">
        <f>+_xlfn.CONCAT('Base de datos'!C19," ",'Base de datos'!D19)</f>
        <v>Taveras Bryan Argenis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MIN(Table134[Fecha])</f>
        <v>43907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MAX(Table134[Fecha])</f>
        <v>45899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>
        <v>43907</v>
      </c>
      <c r="C9" s="24"/>
      <c r="D9" s="24"/>
      <c r="E9" s="24"/>
      <c r="F9" s="24" t="s">
        <v>275</v>
      </c>
      <c r="G9" s="24" t="s">
        <v>235</v>
      </c>
      <c r="H9" s="25"/>
      <c r="I9" s="25"/>
      <c r="J9" s="25"/>
      <c r="K9" s="25"/>
      <c r="L9" s="25"/>
      <c r="M9" s="25"/>
      <c r="N9" s="25"/>
      <c r="O9" s="25">
        <v>929.99</v>
      </c>
      <c r="P9" s="26">
        <f>SUM(Table134[[#This Row],[Valor de la Factura del Cliente]:[Avance]])</f>
        <v>929.99</v>
      </c>
    </row>
    <row r="10" spans="2:16" s="12" customFormat="1" x14ac:dyDescent="0.25">
      <c r="B10" s="47">
        <v>43910</v>
      </c>
      <c r="C10" s="27"/>
      <c r="D10" s="27"/>
      <c r="E10" s="27"/>
      <c r="F10" s="27" t="s">
        <v>275</v>
      </c>
      <c r="G10" s="27" t="s">
        <v>236</v>
      </c>
      <c r="H10" s="28"/>
      <c r="I10" s="28"/>
      <c r="J10" s="28"/>
      <c r="K10" s="28"/>
      <c r="L10" s="28"/>
      <c r="M10" s="28"/>
      <c r="N10" s="28"/>
      <c r="O10" s="28">
        <v>300</v>
      </c>
      <c r="P10" s="29">
        <f>+P9+Table134[[#This Row],[Avance]]-Table134[[#This Row],[Pagado por MVPX]]</f>
        <v>1229.99</v>
      </c>
    </row>
    <row r="11" spans="2:16" s="12" customFormat="1" x14ac:dyDescent="0.25">
      <c r="B11" s="47">
        <v>44196</v>
      </c>
      <c r="C11" s="27"/>
      <c r="D11" s="27"/>
      <c r="E11" s="27"/>
      <c r="F11" s="27" t="s">
        <v>276</v>
      </c>
      <c r="G11" s="27"/>
      <c r="H11" s="28">
        <v>1344.54</v>
      </c>
      <c r="I11" s="28"/>
      <c r="J11" s="28"/>
      <c r="K11" s="28">
        <v>-268.90800000000002</v>
      </c>
      <c r="L11" s="28"/>
      <c r="M11" s="28"/>
      <c r="N11" s="28">
        <f>+Table134[[#This Row],[Valor de la Factura del Cliente]]+Table134[[#This Row],[20% Comisión]]</f>
        <v>1075.6320000000001</v>
      </c>
      <c r="O11" s="28"/>
      <c r="P11" s="29">
        <f>+P10+Table134[[#This Row],[Avance]]-Table134[[#This Row],[Pagado por MVPX]]</f>
        <v>154.35799999999995</v>
      </c>
    </row>
    <row r="12" spans="2:16" s="12" customFormat="1" x14ac:dyDescent="0.25">
      <c r="B12" s="47">
        <v>44232</v>
      </c>
      <c r="C12" s="27"/>
      <c r="D12" s="27"/>
      <c r="E12" s="27"/>
      <c r="F12" s="27" t="s">
        <v>277</v>
      </c>
      <c r="G12" s="27" t="s">
        <v>237</v>
      </c>
      <c r="H12" s="28"/>
      <c r="I12" s="28"/>
      <c r="J12" s="28"/>
      <c r="K12" s="28">
        <v>0</v>
      </c>
      <c r="L12" s="28"/>
      <c r="M12" s="28"/>
      <c r="N12" s="28"/>
      <c r="O12" s="28">
        <v>167.18140942727169</v>
      </c>
      <c r="P12" s="29">
        <f>+P11+Table134[[#This Row],[Avance]]-Table134[[#This Row],[Pagado por MVPX]]</f>
        <v>321.53940942727161</v>
      </c>
    </row>
    <row r="13" spans="2:16" s="12" customFormat="1" x14ac:dyDescent="0.25">
      <c r="B13" s="47">
        <v>44306</v>
      </c>
      <c r="C13" s="27"/>
      <c r="D13" s="27"/>
      <c r="E13" s="27"/>
      <c r="F13" s="27" t="s">
        <v>278</v>
      </c>
      <c r="G13" s="27" t="s">
        <v>238</v>
      </c>
      <c r="H13" s="28"/>
      <c r="I13" s="28"/>
      <c r="J13" s="28"/>
      <c r="K13" s="28">
        <v>0</v>
      </c>
      <c r="L13" s="28"/>
      <c r="M13" s="28"/>
      <c r="N13" s="28"/>
      <c r="O13" s="28">
        <v>211.17651717129056</v>
      </c>
      <c r="P13" s="29">
        <f>+P12+Table134[[#This Row],[Avance]]-Table134[[#This Row],[Pagado por MVPX]]</f>
        <v>532.71592659856219</v>
      </c>
    </row>
    <row r="14" spans="2:16" s="12" customFormat="1" ht="36" x14ac:dyDescent="0.25">
      <c r="B14" s="47">
        <v>44306</v>
      </c>
      <c r="C14" s="27"/>
      <c r="D14" s="27"/>
      <c r="E14" s="27"/>
      <c r="F14" s="27" t="s">
        <v>279</v>
      </c>
      <c r="G14" s="27" t="s">
        <v>239</v>
      </c>
      <c r="H14" s="28"/>
      <c r="I14" s="28"/>
      <c r="J14" s="28"/>
      <c r="K14" s="28">
        <v>0</v>
      </c>
      <c r="L14" s="28"/>
      <c r="M14" s="28"/>
      <c r="N14" s="28"/>
      <c r="O14" s="28">
        <v>105.21869968059552</v>
      </c>
      <c r="P14" s="29">
        <f>+P13+Table134[[#This Row],[Avance]]-Table134[[#This Row],[Pagado por MVPX]]</f>
        <v>637.93462627915767</v>
      </c>
    </row>
    <row r="15" spans="2:16" s="12" customFormat="1" ht="36" x14ac:dyDescent="0.25">
      <c r="B15" s="47">
        <v>44307</v>
      </c>
      <c r="C15" s="27"/>
      <c r="D15" s="27"/>
      <c r="E15" s="27"/>
      <c r="F15" s="27" t="s">
        <v>279</v>
      </c>
      <c r="G15" s="27" t="s">
        <v>239</v>
      </c>
      <c r="H15" s="28"/>
      <c r="I15" s="28"/>
      <c r="J15" s="28"/>
      <c r="K15" s="28">
        <v>0</v>
      </c>
      <c r="L15" s="28"/>
      <c r="M15" s="28"/>
      <c r="N15" s="28"/>
      <c r="O15" s="28">
        <v>98.549041346602252</v>
      </c>
      <c r="P15" s="29">
        <f>+P14+Table134[[#This Row],[Avance]]-Table134[[#This Row],[Pagado por MVPX]]</f>
        <v>736.48366762575995</v>
      </c>
    </row>
    <row r="16" spans="2:16" s="12" customFormat="1" ht="36" x14ac:dyDescent="0.25">
      <c r="B16" s="47">
        <v>44310</v>
      </c>
      <c r="C16" s="27"/>
      <c r="D16" s="27"/>
      <c r="E16" s="27"/>
      <c r="F16" s="27" t="s">
        <v>280</v>
      </c>
      <c r="G16" s="27" t="s">
        <v>240</v>
      </c>
      <c r="H16" s="28"/>
      <c r="I16" s="28"/>
      <c r="J16" s="28"/>
      <c r="K16" s="28">
        <v>0</v>
      </c>
      <c r="L16" s="28"/>
      <c r="M16" s="28"/>
      <c r="N16" s="28"/>
      <c r="O16" s="28">
        <v>35.196086195215095</v>
      </c>
      <c r="P16" s="29">
        <f>+P15+Table134[[#This Row],[Avance]]-Table134[[#This Row],[Pagado por MVPX]]</f>
        <v>771.67975382097507</v>
      </c>
    </row>
    <row r="17" spans="2:16" s="12" customFormat="1" x14ac:dyDescent="0.25">
      <c r="B17" s="47">
        <v>44315</v>
      </c>
      <c r="C17" s="27"/>
      <c r="D17" s="27"/>
      <c r="E17" s="27"/>
      <c r="F17" s="27" t="s">
        <v>278</v>
      </c>
      <c r="G17" s="27" t="s">
        <v>241</v>
      </c>
      <c r="H17" s="28"/>
      <c r="I17" s="28"/>
      <c r="J17" s="28"/>
      <c r="K17" s="28">
        <v>0</v>
      </c>
      <c r="L17" s="28"/>
      <c r="M17" s="28"/>
      <c r="N17" s="28"/>
      <c r="O17" s="28">
        <v>167.18140942727169</v>
      </c>
      <c r="P17" s="29">
        <f>+P16+Table134[[#This Row],[Avance]]-Table134[[#This Row],[Pagado por MVPX]]</f>
        <v>938.86116324824673</v>
      </c>
    </row>
    <row r="18" spans="2:16" s="12" customFormat="1" x14ac:dyDescent="0.25">
      <c r="B18" s="47">
        <v>44358</v>
      </c>
      <c r="C18" s="27"/>
      <c r="D18" s="27"/>
      <c r="E18" s="27"/>
      <c r="F18" s="27" t="s">
        <v>281</v>
      </c>
      <c r="G18" s="27" t="s">
        <v>242</v>
      </c>
      <c r="H18" s="28"/>
      <c r="I18" s="28"/>
      <c r="J18" s="28"/>
      <c r="K18" s="28">
        <v>0</v>
      </c>
      <c r="L18" s="28"/>
      <c r="M18" s="28"/>
      <c r="N18" s="28"/>
      <c r="O18" s="28">
        <v>140.78434478086038</v>
      </c>
      <c r="P18" s="29">
        <f>+P17+Table134[[#This Row],[Avance]]-Table134[[#This Row],[Pagado por MVPX]]</f>
        <v>1079.6455080291071</v>
      </c>
    </row>
    <row r="19" spans="2:16" s="12" customFormat="1" x14ac:dyDescent="0.25">
      <c r="B19" s="47">
        <v>44358</v>
      </c>
      <c r="C19" s="27"/>
      <c r="D19" s="27"/>
      <c r="E19" s="27"/>
      <c r="F19" s="27" t="s">
        <v>282</v>
      </c>
      <c r="G19" s="27" t="s">
        <v>243</v>
      </c>
      <c r="H19" s="28"/>
      <c r="I19" s="28"/>
      <c r="J19" s="28"/>
      <c r="K19" s="28">
        <v>0</v>
      </c>
      <c r="L19" s="28"/>
      <c r="M19" s="28"/>
      <c r="N19" s="28"/>
      <c r="O19" s="28">
        <v>244.77</v>
      </c>
      <c r="P19" s="29">
        <f>+P18+Table134[[#This Row],[Avance]]-Table134[[#This Row],[Pagado por MVPX]]</f>
        <v>1324.4155080291071</v>
      </c>
    </row>
    <row r="20" spans="2:16" s="12" customFormat="1" x14ac:dyDescent="0.25">
      <c r="B20" s="47">
        <v>44361</v>
      </c>
      <c r="C20" s="27"/>
      <c r="D20" s="27"/>
      <c r="E20" s="27"/>
      <c r="F20" s="27" t="s">
        <v>283</v>
      </c>
      <c r="G20" s="27"/>
      <c r="H20" s="28"/>
      <c r="I20" s="28"/>
      <c r="J20" s="28"/>
      <c r="K20" s="28">
        <v>0</v>
      </c>
      <c r="L20" s="28"/>
      <c r="M20" s="28"/>
      <c r="N20" s="28"/>
      <c r="O20" s="28">
        <v>107</v>
      </c>
      <c r="P20" s="29">
        <f>+P19+Table134[[#This Row],[Avance]]-Table134[[#This Row],[Pagado por MVPX]]</f>
        <v>1431.4155080291071</v>
      </c>
    </row>
    <row r="21" spans="2:16" s="12" customFormat="1" x14ac:dyDescent="0.25">
      <c r="B21" s="47">
        <v>44364</v>
      </c>
      <c r="C21" s="27"/>
      <c r="D21" s="27"/>
      <c r="E21" s="27"/>
      <c r="F21" s="27"/>
      <c r="G21" s="27" t="s">
        <v>244</v>
      </c>
      <c r="H21" s="28"/>
      <c r="I21" s="28"/>
      <c r="J21" s="28"/>
      <c r="K21" s="28">
        <v>0</v>
      </c>
      <c r="L21" s="28"/>
      <c r="M21" s="28"/>
      <c r="N21" s="28"/>
      <c r="O21" s="28">
        <v>200</v>
      </c>
      <c r="P21" s="29">
        <f>+P20+Table134[[#This Row],[Avance]]-Table134[[#This Row],[Pagado por MVPX]]</f>
        <v>1631.4155080291071</v>
      </c>
    </row>
    <row r="22" spans="2:16" s="12" customFormat="1" x14ac:dyDescent="0.25">
      <c r="B22" s="47">
        <v>44380</v>
      </c>
      <c r="C22" s="27"/>
      <c r="D22" s="27"/>
      <c r="E22" s="27"/>
      <c r="F22" s="27" t="s">
        <v>284</v>
      </c>
      <c r="G22" s="27" t="s">
        <v>245</v>
      </c>
      <c r="H22" s="28"/>
      <c r="I22" s="28"/>
      <c r="J22" s="28"/>
      <c r="K22" s="28">
        <v>0</v>
      </c>
      <c r="L22" s="28"/>
      <c r="M22" s="28"/>
      <c r="N22" s="28"/>
      <c r="O22" s="28">
        <v>1000</v>
      </c>
      <c r="P22" s="29">
        <f>+P21+Table134[[#This Row],[Avance]]-Table134[[#This Row],[Pagado por MVPX]]</f>
        <v>2631.4155080291071</v>
      </c>
    </row>
    <row r="23" spans="2:16" s="12" customFormat="1" x14ac:dyDescent="0.25">
      <c r="B23" s="47">
        <v>44442</v>
      </c>
      <c r="C23" s="27"/>
      <c r="D23" s="27"/>
      <c r="E23" s="27"/>
      <c r="F23" s="27" t="s">
        <v>282</v>
      </c>
      <c r="G23" s="27" t="s">
        <v>243</v>
      </c>
      <c r="H23" s="28"/>
      <c r="I23" s="28"/>
      <c r="J23" s="28"/>
      <c r="K23" s="28">
        <v>0</v>
      </c>
      <c r="L23" s="28"/>
      <c r="M23" s="28"/>
      <c r="N23" s="28"/>
      <c r="O23" s="28">
        <v>334.29242668215295</v>
      </c>
      <c r="P23" s="29">
        <f>+P22+Table134[[#This Row],[Avance]]-Table134[[#This Row],[Pagado por MVPX]]</f>
        <v>2965.7079347112599</v>
      </c>
    </row>
    <row r="24" spans="2:16" s="12" customFormat="1" x14ac:dyDescent="0.25">
      <c r="B24" s="47">
        <v>44442</v>
      </c>
      <c r="C24" s="27"/>
      <c r="D24" s="27"/>
      <c r="E24" s="27"/>
      <c r="F24" s="27" t="s">
        <v>278</v>
      </c>
      <c r="G24" s="27"/>
      <c r="H24" s="28"/>
      <c r="I24" s="28"/>
      <c r="J24" s="28"/>
      <c r="K24" s="28">
        <v>0</v>
      </c>
      <c r="L24" s="28"/>
      <c r="M24" s="28"/>
      <c r="N24" s="28"/>
      <c r="O24" s="28">
        <v>124.74480816613868</v>
      </c>
      <c r="P24" s="29">
        <f>+P23+Table134[[#This Row],[Avance]]-Table134[[#This Row],[Pagado por MVPX]]</f>
        <v>3090.4527428773986</v>
      </c>
    </row>
    <row r="25" spans="2:16" s="12" customFormat="1" x14ac:dyDescent="0.25">
      <c r="B25" s="47">
        <v>44442</v>
      </c>
      <c r="C25" s="27"/>
      <c r="D25" s="27"/>
      <c r="E25" s="27"/>
      <c r="F25" s="27" t="s">
        <v>285</v>
      </c>
      <c r="G25" s="27" t="s">
        <v>246</v>
      </c>
      <c r="H25" s="28"/>
      <c r="I25" s="28"/>
      <c r="J25" s="28"/>
      <c r="K25" s="28">
        <v>0</v>
      </c>
      <c r="L25" s="28"/>
      <c r="M25" s="28"/>
      <c r="N25" s="28"/>
      <c r="O25" s="28">
        <v>1200</v>
      </c>
      <c r="P25" s="29">
        <f>+P24+Table134[[#This Row],[Avance]]-Table134[[#This Row],[Pagado por MVPX]]</f>
        <v>4290.4527428773981</v>
      </c>
    </row>
    <row r="26" spans="2:16" s="12" customFormat="1" x14ac:dyDescent="0.25">
      <c r="B26" s="47">
        <v>44442</v>
      </c>
      <c r="C26" s="27"/>
      <c r="D26" s="27"/>
      <c r="E26" s="27"/>
      <c r="F26" s="27" t="s">
        <v>286</v>
      </c>
      <c r="G26" s="27" t="s">
        <v>247</v>
      </c>
      <c r="H26" s="28"/>
      <c r="I26" s="28"/>
      <c r="J26" s="28"/>
      <c r="K26" s="28">
        <v>0</v>
      </c>
      <c r="L26" s="28"/>
      <c r="M26" s="28"/>
      <c r="N26" s="28"/>
      <c r="O26" s="28">
        <v>180</v>
      </c>
      <c r="P26" s="29">
        <f>+P25+Table134[[#This Row],[Avance]]-Table134[[#This Row],[Pagado por MVPX]]</f>
        <v>4470.4527428773981</v>
      </c>
    </row>
    <row r="27" spans="2:16" s="12" customFormat="1" x14ac:dyDescent="0.25">
      <c r="B27" s="47">
        <v>44442</v>
      </c>
      <c r="C27" s="27"/>
      <c r="D27" s="27"/>
      <c r="E27" s="27"/>
      <c r="F27" s="27" t="s">
        <v>287</v>
      </c>
      <c r="G27" s="27" t="s">
        <v>248</v>
      </c>
      <c r="H27" s="28"/>
      <c r="I27" s="28"/>
      <c r="J27" s="28"/>
      <c r="K27" s="28">
        <v>0</v>
      </c>
      <c r="L27" s="28"/>
      <c r="M27" s="28"/>
      <c r="N27" s="28"/>
      <c r="O27" s="28">
        <v>140</v>
      </c>
      <c r="P27" s="29">
        <f>+P26+Table134[[#This Row],[Avance]]-Table134[[#This Row],[Pagado por MVPX]]</f>
        <v>4610.4527428773981</v>
      </c>
    </row>
    <row r="28" spans="2:16" s="12" customFormat="1" x14ac:dyDescent="0.25">
      <c r="B28" s="47">
        <v>44442</v>
      </c>
      <c r="C28" s="27"/>
      <c r="D28" s="27"/>
      <c r="E28" s="27"/>
      <c r="F28" s="27" t="s">
        <v>288</v>
      </c>
      <c r="G28" s="27" t="s">
        <v>249</v>
      </c>
      <c r="H28" s="28"/>
      <c r="I28" s="28"/>
      <c r="J28" s="28"/>
      <c r="K28" s="28">
        <v>0</v>
      </c>
      <c r="L28" s="28"/>
      <c r="M28" s="28"/>
      <c r="N28" s="28"/>
      <c r="O28" s="28">
        <v>93</v>
      </c>
      <c r="P28" s="29">
        <f>+P27+Table134[[#This Row],[Avance]]-Table134[[#This Row],[Pagado por MVPX]]</f>
        <v>4703.4527428773981</v>
      </c>
    </row>
    <row r="29" spans="2:16" s="12" customFormat="1" x14ac:dyDescent="0.25">
      <c r="B29" s="47">
        <v>44442</v>
      </c>
      <c r="C29" s="27"/>
      <c r="D29" s="27"/>
      <c r="E29" s="27"/>
      <c r="F29" s="27" t="s">
        <v>289</v>
      </c>
      <c r="G29" s="27" t="s">
        <v>250</v>
      </c>
      <c r="H29" s="28"/>
      <c r="I29" s="28"/>
      <c r="J29" s="28"/>
      <c r="K29" s="28">
        <v>0</v>
      </c>
      <c r="L29" s="28"/>
      <c r="M29" s="28"/>
      <c r="N29" s="28"/>
      <c r="O29" s="28">
        <v>157</v>
      </c>
      <c r="P29" s="29">
        <f>+P28+Table134[[#This Row],[Avance]]-Table134[[#This Row],[Pagado por MVPX]]</f>
        <v>4860.4527428773981</v>
      </c>
    </row>
    <row r="30" spans="2:16" s="12" customFormat="1" x14ac:dyDescent="0.25">
      <c r="B30" s="47">
        <v>44442</v>
      </c>
      <c r="C30" s="27"/>
      <c r="D30" s="27"/>
      <c r="E30" s="27"/>
      <c r="F30" s="27"/>
      <c r="G30" s="27" t="s">
        <v>251</v>
      </c>
      <c r="H30" s="28"/>
      <c r="I30" s="28"/>
      <c r="J30" s="28"/>
      <c r="K30" s="28">
        <v>0</v>
      </c>
      <c r="L30" s="28"/>
      <c r="M30" s="28"/>
      <c r="N30" s="28"/>
      <c r="O30" s="28">
        <v>188</v>
      </c>
      <c r="P30" s="29">
        <f>+P29+Table134[[#This Row],[Avance]]-Table134[[#This Row],[Pagado por MVPX]]</f>
        <v>5048.4527428773981</v>
      </c>
    </row>
    <row r="31" spans="2:16" s="12" customFormat="1" x14ac:dyDescent="0.25">
      <c r="B31" s="47">
        <v>44442</v>
      </c>
      <c r="C31" s="27"/>
      <c r="D31" s="27"/>
      <c r="E31" s="27"/>
      <c r="F31" s="27"/>
      <c r="G31" s="27" t="s">
        <v>252</v>
      </c>
      <c r="H31" s="28"/>
      <c r="I31" s="28"/>
      <c r="J31" s="28"/>
      <c r="K31" s="28">
        <v>0</v>
      </c>
      <c r="L31" s="28"/>
      <c r="M31" s="28"/>
      <c r="N31" s="28"/>
      <c r="O31" s="28">
        <v>100</v>
      </c>
      <c r="P31" s="29">
        <f>+P30+Table134[[#This Row],[Avance]]-Table134[[#This Row],[Pagado por MVPX]]</f>
        <v>5148.4527428773981</v>
      </c>
    </row>
    <row r="32" spans="2:16" s="12" customFormat="1" x14ac:dyDescent="0.25">
      <c r="B32" s="47">
        <v>44442</v>
      </c>
      <c r="C32" s="27"/>
      <c r="D32" s="27"/>
      <c r="E32" s="27"/>
      <c r="F32" s="27"/>
      <c r="G32" s="27" t="s">
        <v>253</v>
      </c>
      <c r="H32" s="28"/>
      <c r="I32" s="28"/>
      <c r="J32" s="28"/>
      <c r="K32" s="28">
        <v>0</v>
      </c>
      <c r="L32" s="28"/>
      <c r="M32" s="28"/>
      <c r="N32" s="28"/>
      <c r="O32" s="28">
        <v>98</v>
      </c>
      <c r="P32" s="29">
        <f>+P31+Table134[[#This Row],[Avance]]-Table134[[#This Row],[Pagado por MVPX]]</f>
        <v>5246.4527428773981</v>
      </c>
    </row>
    <row r="33" spans="2:16" s="12" customFormat="1" x14ac:dyDescent="0.25">
      <c r="B33" s="47">
        <v>44442</v>
      </c>
      <c r="C33" s="27"/>
      <c r="D33" s="27"/>
      <c r="E33" s="27"/>
      <c r="F33" s="27"/>
      <c r="G33" s="27" t="s">
        <v>254</v>
      </c>
      <c r="H33" s="28"/>
      <c r="I33" s="28"/>
      <c r="J33" s="28"/>
      <c r="K33" s="28">
        <v>0</v>
      </c>
      <c r="L33" s="28"/>
      <c r="M33" s="28"/>
      <c r="N33" s="28"/>
      <c r="O33" s="28">
        <v>72</v>
      </c>
      <c r="P33" s="29">
        <f>+P32+Table134[[#This Row],[Avance]]-Table134[[#This Row],[Pagado por MVPX]]</f>
        <v>5318.4527428773981</v>
      </c>
    </row>
    <row r="34" spans="2:16" s="12" customFormat="1" x14ac:dyDescent="0.25">
      <c r="B34" s="47">
        <v>44442</v>
      </c>
      <c r="C34" s="27"/>
      <c r="D34" s="27"/>
      <c r="E34" s="27"/>
      <c r="F34" s="27"/>
      <c r="G34" s="27" t="s">
        <v>255</v>
      </c>
      <c r="H34" s="28"/>
      <c r="I34" s="28"/>
      <c r="J34" s="28"/>
      <c r="K34" s="28">
        <v>0</v>
      </c>
      <c r="L34" s="28"/>
      <c r="M34" s="28"/>
      <c r="N34" s="28"/>
      <c r="O34" s="28">
        <v>132</v>
      </c>
      <c r="P34" s="29">
        <f>+P33+Table134[[#This Row],[Avance]]-Table134[[#This Row],[Pagado por MVPX]]</f>
        <v>5450.4527428773981</v>
      </c>
    </row>
    <row r="35" spans="2:16" s="12" customFormat="1" x14ac:dyDescent="0.25">
      <c r="B35" s="47">
        <v>44442</v>
      </c>
      <c r="C35" s="27"/>
      <c r="D35" s="27"/>
      <c r="E35" s="27"/>
      <c r="F35" s="27"/>
      <c r="G35" s="27" t="s">
        <v>256</v>
      </c>
      <c r="H35" s="28"/>
      <c r="I35" s="28"/>
      <c r="J35" s="28"/>
      <c r="K35" s="28">
        <v>0</v>
      </c>
      <c r="L35" s="28"/>
      <c r="M35" s="28"/>
      <c r="N35" s="28"/>
      <c r="O35" s="28">
        <v>69</v>
      </c>
      <c r="P35" s="29">
        <f>+P34+Table134[[#This Row],[Avance]]-Table134[[#This Row],[Pagado por MVPX]]</f>
        <v>5519.4527428773981</v>
      </c>
    </row>
    <row r="36" spans="2:16" s="12" customFormat="1" x14ac:dyDescent="0.25">
      <c r="B36" s="47">
        <v>44442</v>
      </c>
      <c r="C36" s="27"/>
      <c r="D36" s="27"/>
      <c r="E36" s="27"/>
      <c r="F36" s="27"/>
      <c r="G36" s="27" t="s">
        <v>257</v>
      </c>
      <c r="H36" s="28"/>
      <c r="I36" s="28"/>
      <c r="J36" s="28"/>
      <c r="K36" s="28">
        <v>0</v>
      </c>
      <c r="L36" s="28"/>
      <c r="M36" s="28"/>
      <c r="N36" s="28"/>
      <c r="O36" s="28">
        <v>178.9</v>
      </c>
      <c r="P36" s="29">
        <f>+P35+Table134[[#This Row],[Avance]]-Table134[[#This Row],[Pagado por MVPX]]</f>
        <v>5698.3527428773978</v>
      </c>
    </row>
    <row r="37" spans="2:16" s="12" customFormat="1" x14ac:dyDescent="0.25">
      <c r="B37" s="47">
        <v>44901</v>
      </c>
      <c r="C37" s="27"/>
      <c r="D37" s="27"/>
      <c r="E37" s="27"/>
      <c r="F37" s="27" t="s">
        <v>290</v>
      </c>
      <c r="G37" s="27" t="s">
        <v>258</v>
      </c>
      <c r="H37" s="28">
        <v>1779.02</v>
      </c>
      <c r="I37" s="28"/>
      <c r="J37" s="28"/>
      <c r="K37" s="28">
        <v>-355.80399999999997</v>
      </c>
      <c r="L37" s="28"/>
      <c r="M37" s="28"/>
      <c r="N37" s="28">
        <v>1423.2159999999999</v>
      </c>
      <c r="O37" s="28"/>
      <c r="P37" s="29">
        <f>+P36+Table134[[#This Row],[Avance]]-Table134[[#This Row],[Pagado por MVPX]]</f>
        <v>4275.1367428773974</v>
      </c>
    </row>
    <row r="38" spans="2:16" s="12" customFormat="1" x14ac:dyDescent="0.25">
      <c r="B38" s="47">
        <v>44923</v>
      </c>
      <c r="C38" s="27"/>
      <c r="D38" s="27"/>
      <c r="E38" s="27"/>
      <c r="F38" s="27"/>
      <c r="G38" s="27" t="s">
        <v>255</v>
      </c>
      <c r="H38" s="28"/>
      <c r="I38" s="28"/>
      <c r="J38" s="28"/>
      <c r="K38" s="28">
        <v>0</v>
      </c>
      <c r="L38" s="28"/>
      <c r="M38" s="28"/>
      <c r="N38" s="28"/>
      <c r="O38" s="28">
        <v>218.18181818181819</v>
      </c>
      <c r="P38" s="29">
        <f>+P37+Table134[[#This Row],[Avance]]-Table134[[#This Row],[Pagado por MVPX]]</f>
        <v>4493.3185610592154</v>
      </c>
    </row>
    <row r="39" spans="2:16" s="12" customFormat="1" x14ac:dyDescent="0.25">
      <c r="B39" s="47">
        <v>44959</v>
      </c>
      <c r="C39" s="27"/>
      <c r="D39" s="27"/>
      <c r="E39" s="27"/>
      <c r="F39" s="27" t="s">
        <v>291</v>
      </c>
      <c r="G39" s="27" t="s">
        <v>259</v>
      </c>
      <c r="H39" s="28">
        <v>57951.01</v>
      </c>
      <c r="I39" s="28"/>
      <c r="J39" s="28"/>
      <c r="K39" s="28">
        <v>-11590.201999999999</v>
      </c>
      <c r="L39" s="28"/>
      <c r="M39" s="28"/>
      <c r="N39" s="28">
        <v>46360.808000000005</v>
      </c>
      <c r="O39" s="28"/>
      <c r="P39" s="29">
        <f>+P38+Table134[[#This Row],[Avance]]-Table134[[#This Row],[Pagado por MVPX]]</f>
        <v>-41867.489438940785</v>
      </c>
    </row>
    <row r="40" spans="2:16" s="12" customFormat="1" x14ac:dyDescent="0.25">
      <c r="B40" s="47">
        <v>44985</v>
      </c>
      <c r="C40" s="27"/>
      <c r="D40" s="27"/>
      <c r="E40" s="27"/>
      <c r="F40" s="27"/>
      <c r="G40" s="27" t="s">
        <v>255</v>
      </c>
      <c r="H40" s="28"/>
      <c r="I40" s="28"/>
      <c r="J40" s="28"/>
      <c r="K40" s="28"/>
      <c r="L40" s="28"/>
      <c r="M40" s="28"/>
      <c r="N40" s="28"/>
      <c r="O40" s="28">
        <v>20.71</v>
      </c>
      <c r="P40" s="29">
        <f>+P39+Table134[[#This Row],[Avance]]-Table134[[#This Row],[Pagado por MVPX]]</f>
        <v>-41846.779438940786</v>
      </c>
    </row>
    <row r="41" spans="2:16" s="12" customFormat="1" x14ac:dyDescent="0.25">
      <c r="B41" s="47">
        <v>44985</v>
      </c>
      <c r="C41" s="27"/>
      <c r="D41" s="27"/>
      <c r="E41" s="27"/>
      <c r="F41" s="27" t="s">
        <v>292</v>
      </c>
      <c r="G41" s="27" t="s">
        <v>260</v>
      </c>
      <c r="H41" s="28"/>
      <c r="I41" s="28"/>
      <c r="J41" s="28"/>
      <c r="K41" s="28"/>
      <c r="L41" s="28"/>
      <c r="M41" s="28"/>
      <c r="N41" s="28"/>
      <c r="O41" s="28">
        <v>118.38</v>
      </c>
      <c r="P41" s="29">
        <f>+P40+Table134[[#This Row],[Avance]]-Table134[[#This Row],[Pagado por MVPX]]</f>
        <v>-41728.399438940789</v>
      </c>
    </row>
    <row r="42" spans="2:16" s="12" customFormat="1" x14ac:dyDescent="0.25">
      <c r="B42" s="48">
        <v>44986</v>
      </c>
      <c r="C42" s="30"/>
      <c r="D42" s="30"/>
      <c r="E42" s="30"/>
      <c r="F42" s="30" t="s">
        <v>293</v>
      </c>
      <c r="G42" s="30" t="s">
        <v>260</v>
      </c>
      <c r="H42" s="31"/>
      <c r="I42" s="31"/>
      <c r="J42" s="31"/>
      <c r="K42" s="31"/>
      <c r="L42" s="31"/>
      <c r="M42" s="31"/>
      <c r="N42" s="31"/>
      <c r="O42" s="31">
        <v>260.2</v>
      </c>
      <c r="P42" s="29">
        <f>+P41+Table134[[#This Row],[Avance]]-Table134[[#This Row],[Pagado por MVPX]]</f>
        <v>-41468.199438940792</v>
      </c>
    </row>
    <row r="43" spans="2:16" s="33" customFormat="1" x14ac:dyDescent="0.25">
      <c r="B43" s="47">
        <v>44986</v>
      </c>
      <c r="C43" s="27"/>
      <c r="D43" s="27"/>
      <c r="E43" s="27"/>
      <c r="F43" s="27" t="s">
        <v>293</v>
      </c>
      <c r="G43" s="27" t="s">
        <v>261</v>
      </c>
      <c r="H43" s="28"/>
      <c r="I43" s="28"/>
      <c r="J43" s="28"/>
      <c r="K43" s="28"/>
      <c r="L43" s="28"/>
      <c r="M43" s="28"/>
      <c r="N43" s="28"/>
      <c r="O43" s="28">
        <v>30</v>
      </c>
      <c r="P43" s="29">
        <f>+P42+Table134[[#This Row],[Avance]]-Table134[[#This Row],[Pagado por MVPX]]</f>
        <v>-41438.199438940792</v>
      </c>
    </row>
    <row r="44" spans="2:16" s="12" customFormat="1" x14ac:dyDescent="0.25">
      <c r="B44" s="47">
        <v>44987</v>
      </c>
      <c r="C44" s="27"/>
      <c r="D44" s="27"/>
      <c r="E44" s="27"/>
      <c r="F44" s="27" t="s">
        <v>294</v>
      </c>
      <c r="G44" s="27" t="s">
        <v>262</v>
      </c>
      <c r="H44" s="28"/>
      <c r="I44" s="28"/>
      <c r="J44" s="28"/>
      <c r="K44" s="28"/>
      <c r="L44" s="28"/>
      <c r="M44" s="28"/>
      <c r="N44" s="28"/>
      <c r="O44" s="28">
        <v>20.71</v>
      </c>
      <c r="P44" s="29">
        <f>+P43+Table134[[#This Row],[Avance]]-Table134[[#This Row],[Pagado por MVPX]]</f>
        <v>-41417.489438940793</v>
      </c>
    </row>
    <row r="45" spans="2:16" s="12" customFormat="1" x14ac:dyDescent="0.25">
      <c r="B45" s="47">
        <v>44995</v>
      </c>
      <c r="C45" s="27"/>
      <c r="D45" s="27"/>
      <c r="E45" s="27"/>
      <c r="F45" s="27" t="s">
        <v>295</v>
      </c>
      <c r="G45" s="27" t="s">
        <v>263</v>
      </c>
      <c r="H45" s="28"/>
      <c r="I45" s="28"/>
      <c r="J45" s="28"/>
      <c r="K45" s="28"/>
      <c r="L45" s="28"/>
      <c r="M45" s="28"/>
      <c r="N45" s="28"/>
      <c r="O45" s="28">
        <v>1000</v>
      </c>
      <c r="P45" s="29">
        <f>+P44+Table134[[#This Row],[Avance]]-Table134[[#This Row],[Pagado por MVPX]]</f>
        <v>-40417.489438940793</v>
      </c>
    </row>
    <row r="46" spans="2:16" s="12" customFormat="1" x14ac:dyDescent="0.25">
      <c r="B46" s="47">
        <v>45003</v>
      </c>
      <c r="C46" s="27"/>
      <c r="D46" s="27"/>
      <c r="E46" s="27"/>
      <c r="F46" s="27" t="s">
        <v>296</v>
      </c>
      <c r="G46" s="27" t="s">
        <v>264</v>
      </c>
      <c r="H46" s="28"/>
      <c r="I46" s="28"/>
      <c r="J46" s="28"/>
      <c r="K46" s="28"/>
      <c r="L46" s="28"/>
      <c r="M46" s="28"/>
      <c r="N46" s="28"/>
      <c r="O46" s="28">
        <v>1350</v>
      </c>
      <c r="P46" s="29">
        <f>+P45+Table134[[#This Row],[Avance]]-Table134[[#This Row],[Pagado por MVPX]]</f>
        <v>-39067.489438940793</v>
      </c>
    </row>
    <row r="47" spans="2:16" s="12" customFormat="1" x14ac:dyDescent="0.25">
      <c r="B47" s="47">
        <v>45028</v>
      </c>
      <c r="C47" s="27"/>
      <c r="D47" s="27"/>
      <c r="E47" s="27"/>
      <c r="F47" s="27" t="s">
        <v>297</v>
      </c>
      <c r="G47" s="27" t="s">
        <v>265</v>
      </c>
      <c r="H47" s="28"/>
      <c r="I47" s="28"/>
      <c r="J47" s="28"/>
      <c r="K47" s="28"/>
      <c r="L47" s="28"/>
      <c r="M47" s="28"/>
      <c r="N47" s="28"/>
      <c r="O47" s="28">
        <v>142.38</v>
      </c>
      <c r="P47" s="29">
        <f>+P46+Table134[[#This Row],[Avance]]-Table134[[#This Row],[Pagado por MVPX]]</f>
        <v>-38925.109438940795</v>
      </c>
    </row>
    <row r="48" spans="2:16" s="12" customFormat="1" x14ac:dyDescent="0.25">
      <c r="B48" s="47">
        <v>45041</v>
      </c>
      <c r="C48" s="27"/>
      <c r="D48" s="27"/>
      <c r="E48" s="27"/>
      <c r="F48" s="27" t="s">
        <v>295</v>
      </c>
      <c r="G48" s="27" t="s">
        <v>263</v>
      </c>
      <c r="H48" s="28"/>
      <c r="I48" s="28"/>
      <c r="J48" s="28"/>
      <c r="K48" s="28"/>
      <c r="L48" s="28"/>
      <c r="M48" s="28"/>
      <c r="N48" s="28"/>
      <c r="O48" s="28">
        <v>1000</v>
      </c>
      <c r="P48" s="29">
        <f>+P47+Table134[[#This Row],[Avance]]-Table134[[#This Row],[Pagado por MVPX]]</f>
        <v>-37925.109438940795</v>
      </c>
    </row>
    <row r="49" spans="2:16" s="12" customFormat="1" x14ac:dyDescent="0.25">
      <c r="B49" s="47">
        <v>45051</v>
      </c>
      <c r="C49" s="27"/>
      <c r="D49" s="27"/>
      <c r="E49" s="27"/>
      <c r="F49" s="27" t="s">
        <v>298</v>
      </c>
      <c r="G49" s="27" t="s">
        <v>266</v>
      </c>
      <c r="H49" s="28"/>
      <c r="I49" s="28"/>
      <c r="J49" s="28"/>
      <c r="K49" s="28"/>
      <c r="L49" s="28"/>
      <c r="M49" s="28"/>
      <c r="N49" s="28"/>
      <c r="O49" s="28">
        <v>15631.02</v>
      </c>
      <c r="P49" s="29">
        <f>+P48+Table134[[#This Row],[Avance]]-Table134[[#This Row],[Pagado por MVPX]]</f>
        <v>-22294.089438940795</v>
      </c>
    </row>
    <row r="50" spans="2:16" s="12" customFormat="1" x14ac:dyDescent="0.25">
      <c r="B50" s="47">
        <v>45055</v>
      </c>
      <c r="C50" s="27"/>
      <c r="D50" s="27"/>
      <c r="E50" s="27"/>
      <c r="F50" s="27" t="s">
        <v>299</v>
      </c>
      <c r="G50" s="27" t="s">
        <v>267</v>
      </c>
      <c r="H50" s="28"/>
      <c r="I50" s="28"/>
      <c r="J50" s="28"/>
      <c r="K50" s="28"/>
      <c r="L50" s="28"/>
      <c r="M50" s="28"/>
      <c r="N50" s="28"/>
      <c r="O50" s="28">
        <v>11095.32</v>
      </c>
      <c r="P50" s="29">
        <f>+P49+Table134[[#This Row],[Avance]]-Table134[[#This Row],[Pagado por MVPX]]</f>
        <v>-11198.769438940795</v>
      </c>
    </row>
    <row r="51" spans="2:16" s="12" customFormat="1" x14ac:dyDescent="0.25">
      <c r="B51" s="47">
        <v>45007</v>
      </c>
      <c r="C51" s="27"/>
      <c r="D51" s="27"/>
      <c r="E51" s="27"/>
      <c r="F51" s="27" t="s">
        <v>268</v>
      </c>
      <c r="G51" s="27" t="s">
        <v>268</v>
      </c>
      <c r="H51" s="28"/>
      <c r="I51" s="28"/>
      <c r="J51" s="28"/>
      <c r="K51" s="28"/>
      <c r="L51" s="28"/>
      <c r="M51" s="28"/>
      <c r="N51" s="28"/>
      <c r="O51" s="28">
        <v>2000</v>
      </c>
      <c r="P51" s="29">
        <f>+P50+Table134[[#This Row],[Avance]]-Table134[[#This Row],[Pagado por MVPX]]</f>
        <v>-9198.7694389407952</v>
      </c>
    </row>
    <row r="52" spans="2:16" s="12" customFormat="1" x14ac:dyDescent="0.25">
      <c r="B52" s="47">
        <v>45057</v>
      </c>
      <c r="C52" s="27"/>
      <c r="D52" s="27"/>
      <c r="E52" s="27"/>
      <c r="F52" s="27" t="s">
        <v>268</v>
      </c>
      <c r="G52" s="27" t="s">
        <v>268</v>
      </c>
      <c r="H52" s="28"/>
      <c r="I52" s="28"/>
      <c r="J52" s="28"/>
      <c r="K52" s="28"/>
      <c r="L52" s="28"/>
      <c r="M52" s="28"/>
      <c r="N52" s="28"/>
      <c r="O52" s="28">
        <v>2000</v>
      </c>
      <c r="P52" s="29">
        <f>+P51+Table134[[#This Row],[Avance]]-Table134[[#This Row],[Pagado por MVPX]]</f>
        <v>-7198.7694389407952</v>
      </c>
    </row>
    <row r="53" spans="2:16" s="12" customFormat="1" x14ac:dyDescent="0.25">
      <c r="B53" s="47">
        <v>45047</v>
      </c>
      <c r="C53" s="27"/>
      <c r="D53" s="27"/>
      <c r="E53" s="27"/>
      <c r="F53" s="27" t="s">
        <v>269</v>
      </c>
      <c r="G53" s="27" t="s">
        <v>269</v>
      </c>
      <c r="H53" s="28"/>
      <c r="I53" s="28"/>
      <c r="J53" s="28"/>
      <c r="K53" s="28"/>
      <c r="L53" s="28"/>
      <c r="M53" s="28"/>
      <c r="N53" s="28"/>
      <c r="O53" s="28">
        <v>244.25</v>
      </c>
      <c r="P53" s="29">
        <f>+P52+Table134[[#This Row],[Avance]]-Table134[[#This Row],[Pagado por MVPX]]</f>
        <v>-6954.5194389407952</v>
      </c>
    </row>
    <row r="54" spans="2:16" s="12" customFormat="1" x14ac:dyDescent="0.25">
      <c r="B54" s="47"/>
      <c r="C54" s="27"/>
      <c r="D54" s="27"/>
      <c r="E54" s="27"/>
      <c r="F54" s="27" t="s">
        <v>300</v>
      </c>
      <c r="G54" s="27" t="s">
        <v>270</v>
      </c>
      <c r="H54" s="28">
        <v>20000</v>
      </c>
      <c r="I54" s="28"/>
      <c r="J54" s="28"/>
      <c r="K54" s="28">
        <v>-4000</v>
      </c>
      <c r="L54" s="28"/>
      <c r="M54" s="28"/>
      <c r="N54" s="28">
        <v>16000</v>
      </c>
      <c r="O54" s="28"/>
      <c r="P54" s="29">
        <f>+P53+Table134[[#This Row],[Avance]]-Table134[[#This Row],[Pagado por MVPX]]</f>
        <v>-22954.519438940795</v>
      </c>
    </row>
    <row r="55" spans="2:16" s="12" customFormat="1" x14ac:dyDescent="0.25">
      <c r="B55" s="47"/>
      <c r="C55" s="27"/>
      <c r="D55" s="27"/>
      <c r="E55" s="27"/>
      <c r="F55" s="27" t="s">
        <v>296</v>
      </c>
      <c r="G55" s="27" t="s">
        <v>271</v>
      </c>
      <c r="H55" s="28"/>
      <c r="I55" s="28"/>
      <c r="J55" s="28"/>
      <c r="K55" s="28"/>
      <c r="L55" s="28"/>
      <c r="M55" s="28"/>
      <c r="N55" s="28"/>
      <c r="O55" s="28">
        <v>150</v>
      </c>
      <c r="P55" s="29">
        <f>+P54+Table134[[#This Row],[Avance]]-Table134[[#This Row],[Pagado por MVPX]]</f>
        <v>-22804.519438940795</v>
      </c>
    </row>
    <row r="56" spans="2:16" s="12" customFormat="1" x14ac:dyDescent="0.25">
      <c r="B56" s="47">
        <v>45093</v>
      </c>
      <c r="C56" s="27"/>
      <c r="D56" s="27"/>
      <c r="E56" s="27"/>
      <c r="F56" s="27" t="s">
        <v>272</v>
      </c>
      <c r="G56" s="27" t="s">
        <v>272</v>
      </c>
      <c r="H56" s="28">
        <v>74.73</v>
      </c>
      <c r="I56" s="28"/>
      <c r="J56" s="28"/>
      <c r="K56" s="28">
        <v>-18.682500000000001</v>
      </c>
      <c r="L56" s="28"/>
      <c r="M56" s="28"/>
      <c r="N56" s="28">
        <v>59.787500000000001</v>
      </c>
      <c r="O56" s="28"/>
      <c r="P56" s="29">
        <f>+P55+Table134[[#This Row],[Avance]]-Table134[[#This Row],[Pagado por MVPX]]</f>
        <v>-22864.306938940794</v>
      </c>
    </row>
    <row r="57" spans="2:16" s="12" customFormat="1" x14ac:dyDescent="0.25">
      <c r="B57" s="47">
        <v>45090</v>
      </c>
      <c r="C57" s="27"/>
      <c r="D57" s="27"/>
      <c r="E57" s="27"/>
      <c r="F57" s="27" t="s">
        <v>295</v>
      </c>
      <c r="G57" s="27" t="s">
        <v>273</v>
      </c>
      <c r="H57" s="28"/>
      <c r="I57" s="28"/>
      <c r="J57" s="28"/>
      <c r="K57" s="28"/>
      <c r="L57" s="28"/>
      <c r="M57" s="28"/>
      <c r="N57" s="28"/>
      <c r="O57" s="28">
        <v>3500</v>
      </c>
      <c r="P57" s="29">
        <f>+P56+Table134[[#This Row],[Avance]]-Table134[[#This Row],[Pagado por MVPX]]</f>
        <v>-19364.306938940794</v>
      </c>
    </row>
    <row r="58" spans="2:16" s="12" customFormat="1" x14ac:dyDescent="0.25">
      <c r="B58" s="47">
        <v>45113</v>
      </c>
      <c r="C58" s="27"/>
      <c r="D58" s="27"/>
      <c r="E58" s="27"/>
      <c r="F58" s="27" t="s">
        <v>295</v>
      </c>
      <c r="G58" s="27" t="s">
        <v>274</v>
      </c>
      <c r="H58" s="28"/>
      <c r="I58" s="28"/>
      <c r="J58" s="28"/>
      <c r="K58" s="28"/>
      <c r="L58" s="28"/>
      <c r="M58" s="28"/>
      <c r="N58" s="28"/>
      <c r="O58" s="28">
        <v>2000</v>
      </c>
      <c r="P58" s="29">
        <f>+P57+Table134[[#This Row],[Avance]]-Table134[[#This Row],[Pagado por MVPX]]</f>
        <v>-17364.306938940794</v>
      </c>
    </row>
    <row r="59" spans="2:16" s="12" customFormat="1" x14ac:dyDescent="0.25">
      <c r="B59" s="47">
        <v>45134</v>
      </c>
      <c r="C59" s="27"/>
      <c r="D59" s="27"/>
      <c r="E59" s="27"/>
      <c r="F59" s="27" t="s">
        <v>295</v>
      </c>
      <c r="G59" s="27" t="s">
        <v>273</v>
      </c>
      <c r="H59" s="28"/>
      <c r="I59" s="28"/>
      <c r="J59" s="28"/>
      <c r="K59" s="28"/>
      <c r="L59" s="28"/>
      <c r="M59" s="28"/>
      <c r="N59" s="28"/>
      <c r="O59" s="28">
        <v>1000</v>
      </c>
      <c r="P59" s="29">
        <f>+P58+Table134[[#This Row],[Avance]]-Table134[[#This Row],[Pagado por MVPX]]</f>
        <v>-16364.306938940794</v>
      </c>
    </row>
    <row r="60" spans="2:16" s="12" customFormat="1" x14ac:dyDescent="0.25">
      <c r="B60" s="47">
        <v>45145</v>
      </c>
      <c r="C60" s="27"/>
      <c r="D60" s="27"/>
      <c r="E60" s="27"/>
      <c r="F60" s="27" t="s">
        <v>295</v>
      </c>
      <c r="G60" s="27" t="s">
        <v>274</v>
      </c>
      <c r="H60" s="28"/>
      <c r="I60" s="28"/>
      <c r="J60" s="28"/>
      <c r="K60" s="28"/>
      <c r="L60" s="28"/>
      <c r="M60" s="28"/>
      <c r="N60" s="28"/>
      <c r="O60" s="28">
        <v>1000</v>
      </c>
      <c r="P60" s="29">
        <f>+P59+Table134[[#This Row],[Avance]]-Table134[[#This Row],[Pagado por MVPX]]</f>
        <v>-15364.306938940794</v>
      </c>
    </row>
    <row r="61" spans="2:16" s="12" customFormat="1" x14ac:dyDescent="0.25">
      <c r="B61" s="47">
        <v>45188</v>
      </c>
      <c r="C61" s="27"/>
      <c r="D61" s="27"/>
      <c r="E61" s="27"/>
      <c r="F61" s="27"/>
      <c r="G61" s="27" t="s">
        <v>102</v>
      </c>
      <c r="H61" s="28"/>
      <c r="I61" s="28"/>
      <c r="J61" s="28"/>
      <c r="K61" s="28"/>
      <c r="L61" s="28"/>
      <c r="M61" s="28"/>
      <c r="N61" s="28"/>
      <c r="O61" s="28">
        <v>15364.31</v>
      </c>
      <c r="P61" s="29">
        <f>+P60+Table134[[#This Row],[Avance]]-Table134[[#This Row],[Pagado por MVPX]]</f>
        <v>3.0610592057200847E-3</v>
      </c>
    </row>
    <row r="62" spans="2:16" x14ac:dyDescent="0.45">
      <c r="B62" s="47"/>
      <c r="C62" s="43"/>
      <c r="D62" s="43"/>
      <c r="E62" s="43"/>
      <c r="F62" s="43"/>
      <c r="G62" s="43" t="s">
        <v>95</v>
      </c>
      <c r="H62" s="45">
        <v>7288.39</v>
      </c>
      <c r="I62" s="45"/>
      <c r="J62" s="45"/>
      <c r="K62" s="45">
        <v>-2056</v>
      </c>
      <c r="L62" s="45"/>
      <c r="M62" s="45"/>
      <c r="N62" s="45">
        <v>5232.3900000000003</v>
      </c>
      <c r="O62" s="45"/>
      <c r="P62" s="29">
        <f>+P61+Table134[[#This Row],[Avance]]-Table134[[#This Row],[Pagado por MVPX]]</f>
        <v>-5232.3869389407946</v>
      </c>
    </row>
    <row r="63" spans="2:16" x14ac:dyDescent="0.45">
      <c r="B63" s="47"/>
      <c r="C63" s="43"/>
      <c r="D63" s="43"/>
      <c r="E63" s="43"/>
      <c r="F63" s="43"/>
      <c r="G63" s="43" t="s">
        <v>301</v>
      </c>
      <c r="H63" s="45"/>
      <c r="I63" s="45"/>
      <c r="J63" s="45"/>
      <c r="K63" s="45"/>
      <c r="L63" s="45"/>
      <c r="M63" s="45"/>
      <c r="N63" s="45"/>
      <c r="O63" s="45">
        <v>1813.9085000000014</v>
      </c>
      <c r="P63" s="29">
        <f>+P62+Table134[[#This Row],[Avance]]-Table134[[#This Row],[Pagado por MVPX]]</f>
        <v>-3418.4784389407932</v>
      </c>
    </row>
    <row r="64" spans="2:16" x14ac:dyDescent="0.45">
      <c r="B64" s="47">
        <v>45278</v>
      </c>
      <c r="C64" s="43"/>
      <c r="D64" s="43"/>
      <c r="E64" s="43"/>
      <c r="F64" s="43"/>
      <c r="G64" s="43" t="s">
        <v>274</v>
      </c>
      <c r="H64" s="45"/>
      <c r="I64" s="45"/>
      <c r="J64" s="45"/>
      <c r="K64" s="45"/>
      <c r="L64" s="45"/>
      <c r="M64" s="45"/>
      <c r="N64" s="45"/>
      <c r="O64" s="45">
        <v>700</v>
      </c>
      <c r="P64" s="29">
        <f>+P63+Table134[[#This Row],[Avance]]-Table134[[#This Row],[Pagado por MVPX]]</f>
        <v>-2718.4784389407932</v>
      </c>
    </row>
    <row r="65" spans="2:16" x14ac:dyDescent="0.45">
      <c r="B65" s="47">
        <v>45294</v>
      </c>
      <c r="C65" s="43"/>
      <c r="D65" s="43"/>
      <c r="E65" s="43"/>
      <c r="F65" s="43"/>
      <c r="G65" s="43" t="s">
        <v>302</v>
      </c>
      <c r="H65" s="45"/>
      <c r="I65" s="45"/>
      <c r="J65" s="45"/>
      <c r="K65" s="45"/>
      <c r="L65" s="45"/>
      <c r="M65" s="45"/>
      <c r="N65" s="45"/>
      <c r="O65" s="45">
        <v>85.32</v>
      </c>
      <c r="P65" s="29">
        <f>+P64+Table134[[#This Row],[Avance]]-Table134[[#This Row],[Pagado por MVPX]]</f>
        <v>-2633.1584389407931</v>
      </c>
    </row>
    <row r="66" spans="2:16" x14ac:dyDescent="0.45">
      <c r="B66" s="47">
        <v>45296</v>
      </c>
      <c r="C66" s="43"/>
      <c r="D66" s="43"/>
      <c r="E66" s="43"/>
      <c r="F66" s="43"/>
      <c r="G66" s="43" t="s">
        <v>303</v>
      </c>
      <c r="H66" s="45">
        <v>457</v>
      </c>
      <c r="I66" s="45"/>
      <c r="J66" s="45"/>
      <c r="K66" s="45">
        <v>-91.4</v>
      </c>
      <c r="L66" s="45"/>
      <c r="M66" s="45"/>
      <c r="N66" s="45">
        <v>365.6</v>
      </c>
      <c r="O66" s="45">
        <v>457</v>
      </c>
      <c r="P66" s="29">
        <f>+P65+Table134[[#This Row],[Avance]]-Table134[[#This Row],[Pagado por MVPX]]</f>
        <v>-2541.758438940793</v>
      </c>
    </row>
    <row r="67" spans="2:16" x14ac:dyDescent="0.45">
      <c r="B67" s="47">
        <v>45316</v>
      </c>
      <c r="C67" s="43"/>
      <c r="D67" s="43"/>
      <c r="E67" s="43"/>
      <c r="F67" s="43"/>
      <c r="G67" s="43" t="s">
        <v>274</v>
      </c>
      <c r="H67" s="45"/>
      <c r="I67" s="45"/>
      <c r="J67" s="45"/>
      <c r="K67" s="45"/>
      <c r="L67" s="45"/>
      <c r="M67" s="45"/>
      <c r="N67" s="45"/>
      <c r="O67" s="45">
        <v>500</v>
      </c>
      <c r="P67" s="29">
        <f>+P66+Table134[[#This Row],[Avance]]-Table134[[#This Row],[Pagado por MVPX]]</f>
        <v>-2041.758438940793</v>
      </c>
    </row>
    <row r="68" spans="2:16" x14ac:dyDescent="0.45">
      <c r="B68" s="47">
        <v>45322</v>
      </c>
      <c r="C68" s="43"/>
      <c r="D68" s="43"/>
      <c r="E68" s="43"/>
      <c r="F68" s="43"/>
      <c r="G68" s="43" t="s">
        <v>304</v>
      </c>
      <c r="H68" s="45"/>
      <c r="I68" s="45"/>
      <c r="J68" s="45"/>
      <c r="K68" s="45"/>
      <c r="L68" s="45"/>
      <c r="M68" s="45"/>
      <c r="N68" s="45"/>
      <c r="O68" s="45">
        <v>14.99</v>
      </c>
      <c r="P68" s="29">
        <f>+P67+Table134[[#This Row],[Avance]]-Table134[[#This Row],[Pagado por MVPX]]</f>
        <v>-2026.768438940793</v>
      </c>
    </row>
    <row r="69" spans="2:16" x14ac:dyDescent="0.45">
      <c r="B69" s="47">
        <v>45349</v>
      </c>
      <c r="C69" s="43"/>
      <c r="D69" s="43"/>
      <c r="E69" s="43"/>
      <c r="F69" s="43"/>
      <c r="G69" s="43" t="s">
        <v>305</v>
      </c>
      <c r="H69" s="45"/>
      <c r="I69" s="45"/>
      <c r="J69" s="45"/>
      <c r="K69" s="45"/>
      <c r="L69" s="45"/>
      <c r="M69" s="45"/>
      <c r="N69" s="45"/>
      <c r="O69" s="45">
        <v>500</v>
      </c>
      <c r="P69" s="29">
        <f>+P68+Table134[[#This Row],[Avance]]-Table134[[#This Row],[Pagado por MVPX]]</f>
        <v>-1526.768438940793</v>
      </c>
    </row>
    <row r="70" spans="2:16" x14ac:dyDescent="0.45">
      <c r="B70" s="47">
        <v>45349</v>
      </c>
      <c r="C70" s="43"/>
      <c r="D70" s="43"/>
      <c r="E70" s="43"/>
      <c r="F70" s="43"/>
      <c r="G70" s="43" t="s">
        <v>304</v>
      </c>
      <c r="H70" s="45"/>
      <c r="I70" s="45"/>
      <c r="J70" s="45"/>
      <c r="K70" s="45"/>
      <c r="L70" s="45"/>
      <c r="M70" s="45"/>
      <c r="N70" s="45"/>
      <c r="O70" s="45">
        <v>14.99</v>
      </c>
      <c r="P70" s="29">
        <f>+P69+Table134[[#This Row],[Avance]]-Table134[[#This Row],[Pagado por MVPX]]</f>
        <v>-1511.778438940793</v>
      </c>
    </row>
    <row r="71" spans="2:16" x14ac:dyDescent="0.45">
      <c r="B71" s="47">
        <v>45378</v>
      </c>
      <c r="C71" s="43"/>
      <c r="D71" s="43"/>
      <c r="E71" s="43"/>
      <c r="F71" s="43"/>
      <c r="G71" s="43" t="s">
        <v>305</v>
      </c>
      <c r="H71" s="45"/>
      <c r="I71" s="45"/>
      <c r="J71" s="45"/>
      <c r="K71" s="45"/>
      <c r="L71" s="45"/>
      <c r="M71" s="45"/>
      <c r="N71" s="45"/>
      <c r="O71" s="45">
        <v>500</v>
      </c>
      <c r="P71" s="29">
        <f>+P70+Table134[[#This Row],[Avance]]-Table134[[#This Row],[Pagado por MVPX]]</f>
        <v>-1011.778438940793</v>
      </c>
    </row>
    <row r="72" spans="2:16" x14ac:dyDescent="0.45">
      <c r="B72" s="47">
        <v>45382</v>
      </c>
      <c r="C72" s="43"/>
      <c r="D72" s="43"/>
      <c r="E72" s="43"/>
      <c r="F72" s="43"/>
      <c r="G72" s="43" t="s">
        <v>304</v>
      </c>
      <c r="H72" s="45"/>
      <c r="I72" s="45"/>
      <c r="J72" s="45"/>
      <c r="K72" s="45"/>
      <c r="L72" s="45"/>
      <c r="M72" s="45"/>
      <c r="N72" s="45"/>
      <c r="O72" s="45">
        <v>14.99</v>
      </c>
      <c r="P72" s="29">
        <f>+P71+Table134[[#This Row],[Avance]]-Table134[[#This Row],[Pagado por MVPX]]</f>
        <v>-996.78843894079296</v>
      </c>
    </row>
    <row r="73" spans="2:16" x14ac:dyDescent="0.45">
      <c r="B73" s="47">
        <v>45382</v>
      </c>
      <c r="C73" s="43"/>
      <c r="D73" s="43"/>
      <c r="E73" s="43"/>
      <c r="F73" s="43"/>
      <c r="G73" s="43" t="s">
        <v>304</v>
      </c>
      <c r="H73" s="45"/>
      <c r="I73" s="45"/>
      <c r="J73" s="45"/>
      <c r="K73" s="45"/>
      <c r="L73" s="45"/>
      <c r="M73" s="45"/>
      <c r="N73" s="45"/>
      <c r="O73" s="45">
        <v>14.99</v>
      </c>
      <c r="P73" s="29">
        <f>+P72+Table134[[#This Row],[Avance]]-Table134[[#This Row],[Pagado por MVPX]]</f>
        <v>-981.79843894079295</v>
      </c>
    </row>
    <row r="74" spans="2:16" ht="36" x14ac:dyDescent="0.45">
      <c r="B74" s="47">
        <v>45443</v>
      </c>
      <c r="C74" s="43"/>
      <c r="D74" s="43"/>
      <c r="E74" s="43"/>
      <c r="F74" s="43"/>
      <c r="G74" s="43" t="s">
        <v>306</v>
      </c>
      <c r="H74" s="45"/>
      <c r="I74" s="45"/>
      <c r="J74" s="45"/>
      <c r="K74" s="45"/>
      <c r="L74" s="45"/>
      <c r="M74" s="45"/>
      <c r="N74" s="45"/>
      <c r="O74" s="45">
        <v>415.64</v>
      </c>
      <c r="P74" s="29">
        <f>+P73+Table134[[#This Row],[Avance]]-Table134[[#This Row],[Pagado por MVPX]]</f>
        <v>-566.15843894079296</v>
      </c>
    </row>
    <row r="75" spans="2:16" x14ac:dyDescent="0.45">
      <c r="B75" s="47">
        <v>45473</v>
      </c>
      <c r="C75" s="43"/>
      <c r="D75" s="43"/>
      <c r="E75" s="43"/>
      <c r="F75" s="43"/>
      <c r="G75" s="43" t="s">
        <v>304</v>
      </c>
      <c r="H75" s="45"/>
      <c r="I75" s="45"/>
      <c r="J75" s="45"/>
      <c r="K75" s="45"/>
      <c r="L75" s="45"/>
      <c r="M75" s="45"/>
      <c r="N75" s="45"/>
      <c r="O75" s="45">
        <v>14.99</v>
      </c>
      <c r="P75" s="29">
        <f>+P74+Table134[[#This Row],[Avance]]-Table134[[#This Row],[Pagado por MVPX]]</f>
        <v>-551.16843894079295</v>
      </c>
    </row>
    <row r="76" spans="2:16" x14ac:dyDescent="0.45">
      <c r="B76" s="47">
        <v>45503</v>
      </c>
      <c r="C76" s="43"/>
      <c r="D76" s="43"/>
      <c r="E76" s="43"/>
      <c r="F76" s="43"/>
      <c r="G76" s="43" t="s">
        <v>304</v>
      </c>
      <c r="H76" s="45"/>
      <c r="I76" s="45"/>
      <c r="J76" s="45"/>
      <c r="K76" s="45"/>
      <c r="L76" s="45"/>
      <c r="M76" s="45"/>
      <c r="N76" s="45"/>
      <c r="O76" s="45">
        <v>14.99</v>
      </c>
      <c r="P76" s="29">
        <f>+P75+Table134[[#This Row],[Avance]]-Table134[[#This Row],[Pagado por MVPX]]</f>
        <v>-536.17843894079294</v>
      </c>
    </row>
    <row r="77" spans="2:16" x14ac:dyDescent="0.45">
      <c r="B77" s="47">
        <v>45534</v>
      </c>
      <c r="C77" s="43"/>
      <c r="D77" s="43"/>
      <c r="E77" s="43"/>
      <c r="F77" s="43"/>
      <c r="G77" s="43" t="s">
        <v>304</v>
      </c>
      <c r="H77" s="45"/>
      <c r="I77" s="45"/>
      <c r="J77" s="45"/>
      <c r="K77" s="45"/>
      <c r="L77" s="45"/>
      <c r="M77" s="45"/>
      <c r="N77" s="45"/>
      <c r="O77" s="45">
        <v>14.99</v>
      </c>
      <c r="P77" s="29">
        <f>+P76+Table134[[#This Row],[Avance]]-Table134[[#This Row],[Pagado por MVPX]]</f>
        <v>-521.18843894079293</v>
      </c>
    </row>
    <row r="78" spans="2:16" x14ac:dyDescent="0.45">
      <c r="B78" s="47">
        <v>45565</v>
      </c>
      <c r="C78" s="43"/>
      <c r="D78" s="43"/>
      <c r="E78" s="43"/>
      <c r="F78" s="43"/>
      <c r="G78" s="43" t="s">
        <v>304</v>
      </c>
      <c r="H78" s="45"/>
      <c r="I78" s="45"/>
      <c r="J78" s="45"/>
      <c r="K78" s="45"/>
      <c r="L78" s="45"/>
      <c r="M78" s="45"/>
      <c r="N78" s="45"/>
      <c r="O78" s="45">
        <v>14.99</v>
      </c>
      <c r="P78" s="29">
        <f>+P77+Table134[[#This Row],[Avance]]-Table134[[#This Row],[Pagado por MVPX]]</f>
        <v>-506.19843894079293</v>
      </c>
    </row>
    <row r="79" spans="2:16" x14ac:dyDescent="0.45">
      <c r="B79" s="47">
        <v>45595</v>
      </c>
      <c r="C79" s="43"/>
      <c r="D79" s="43"/>
      <c r="E79" s="43"/>
      <c r="F79" s="43"/>
      <c r="G79" s="43" t="s">
        <v>304</v>
      </c>
      <c r="H79" s="45"/>
      <c r="I79" s="45"/>
      <c r="J79" s="45"/>
      <c r="K79" s="45"/>
      <c r="L79" s="45"/>
      <c r="M79" s="45"/>
      <c r="N79" s="45"/>
      <c r="O79" s="45">
        <v>14.99</v>
      </c>
      <c r="P79" s="29">
        <f>+P78+Table134[[#This Row],[Avance]]-Table134[[#This Row],[Pagado por MVPX]]</f>
        <v>-491.20843894079292</v>
      </c>
    </row>
    <row r="80" spans="2:16" x14ac:dyDescent="0.45">
      <c r="B80" s="47">
        <v>45626</v>
      </c>
      <c r="C80" s="43"/>
      <c r="D80" s="43"/>
      <c r="E80" s="43"/>
      <c r="F80" s="43"/>
      <c r="G80" s="43" t="s">
        <v>304</v>
      </c>
      <c r="H80" s="45"/>
      <c r="I80" s="45"/>
      <c r="J80" s="45"/>
      <c r="K80" s="45"/>
      <c r="L80" s="45"/>
      <c r="M80" s="45"/>
      <c r="N80" s="45"/>
      <c r="O80" s="45">
        <v>14.99</v>
      </c>
      <c r="P80" s="29">
        <f>+P79+Table134[[#This Row],[Avance]]-Table134[[#This Row],[Pagado por MVPX]]</f>
        <v>-476.21843894079291</v>
      </c>
    </row>
    <row r="81" spans="2:16" x14ac:dyDescent="0.45">
      <c r="B81" s="47">
        <v>45656</v>
      </c>
      <c r="C81" s="43"/>
      <c r="D81" s="43"/>
      <c r="E81" s="43"/>
      <c r="F81" s="43"/>
      <c r="G81" s="43" t="s">
        <v>304</v>
      </c>
      <c r="H81" s="45"/>
      <c r="I81" s="45"/>
      <c r="J81" s="45"/>
      <c r="K81" s="45"/>
      <c r="L81" s="45"/>
      <c r="M81" s="45"/>
      <c r="N81" s="45"/>
      <c r="O81" s="45">
        <v>14.99</v>
      </c>
      <c r="P81" s="29">
        <f>+P80+Table134[[#This Row],[Avance]]-Table134[[#This Row],[Pagado por MVPX]]</f>
        <v>-461.2284389407929</v>
      </c>
    </row>
    <row r="82" spans="2:16" x14ac:dyDescent="0.45">
      <c r="B82" s="47">
        <v>45687</v>
      </c>
      <c r="C82" s="43"/>
      <c r="D82" s="43"/>
      <c r="E82" s="43"/>
      <c r="F82" s="43"/>
      <c r="G82" s="43" t="s">
        <v>304</v>
      </c>
      <c r="H82" s="45"/>
      <c r="I82" s="45"/>
      <c r="J82" s="45"/>
      <c r="K82" s="45"/>
      <c r="L82" s="45"/>
      <c r="M82" s="45"/>
      <c r="N82" s="45"/>
      <c r="O82" s="45">
        <v>14.99</v>
      </c>
      <c r="P82" s="29">
        <f>+P81+Table134[[#This Row],[Avance]]-Table134[[#This Row],[Pagado por MVPX]]</f>
        <v>-446.23843894079289</v>
      </c>
    </row>
    <row r="83" spans="2:16" x14ac:dyDescent="0.45">
      <c r="B83" s="47">
        <v>45716</v>
      </c>
      <c r="C83" s="43"/>
      <c r="D83" s="43"/>
      <c r="E83" s="43"/>
      <c r="F83" s="43"/>
      <c r="G83" s="43" t="s">
        <v>304</v>
      </c>
      <c r="H83" s="45"/>
      <c r="I83" s="45"/>
      <c r="J83" s="45"/>
      <c r="K83" s="45"/>
      <c r="L83" s="45"/>
      <c r="M83" s="45"/>
      <c r="N83" s="45"/>
      <c r="O83" s="45">
        <v>14.99</v>
      </c>
      <c r="P83" s="29">
        <f>+P82+Table134[[#This Row],[Avance]]-Table134[[#This Row],[Pagado por MVPX]]</f>
        <v>-431.24843894079288</v>
      </c>
    </row>
    <row r="84" spans="2:16" x14ac:dyDescent="0.45">
      <c r="B84" s="47">
        <v>45746</v>
      </c>
      <c r="C84" s="43"/>
      <c r="D84" s="43"/>
      <c r="E84" s="43"/>
      <c r="F84" s="43"/>
      <c r="G84" s="43" t="s">
        <v>304</v>
      </c>
      <c r="H84" s="45"/>
      <c r="I84" s="45"/>
      <c r="J84" s="45"/>
      <c r="K84" s="45"/>
      <c r="L84" s="45"/>
      <c r="M84" s="45"/>
      <c r="N84" s="45"/>
      <c r="O84" s="45">
        <v>14.99</v>
      </c>
      <c r="P84" s="29">
        <f>+P83+Table134[[#This Row],[Avance]]-Table134[[#This Row],[Pagado por MVPX]]</f>
        <v>-416.25843894079287</v>
      </c>
    </row>
    <row r="85" spans="2:16" x14ac:dyDescent="0.45">
      <c r="B85" s="47">
        <v>45777</v>
      </c>
      <c r="C85" s="43"/>
      <c r="D85" s="43"/>
      <c r="E85" s="43"/>
      <c r="F85" s="43"/>
      <c r="G85" s="43" t="s">
        <v>304</v>
      </c>
      <c r="H85" s="45"/>
      <c r="I85" s="45"/>
      <c r="J85" s="45"/>
      <c r="K85" s="45"/>
      <c r="L85" s="45"/>
      <c r="M85" s="45"/>
      <c r="N85" s="45"/>
      <c r="O85" s="45">
        <v>14.99</v>
      </c>
      <c r="P85" s="29">
        <f>+P84+Table134[[#This Row],[Avance]]-Table134[[#This Row],[Pagado por MVPX]]</f>
        <v>-401.26843894079286</v>
      </c>
    </row>
    <row r="86" spans="2:16" x14ac:dyDescent="0.45">
      <c r="B86" s="47">
        <v>45807</v>
      </c>
      <c r="C86" s="43"/>
      <c r="D86" s="43"/>
      <c r="E86" s="43"/>
      <c r="F86" s="43"/>
      <c r="G86" s="43" t="s">
        <v>304</v>
      </c>
      <c r="H86" s="45"/>
      <c r="I86" s="45"/>
      <c r="J86" s="45"/>
      <c r="K86" s="45"/>
      <c r="L86" s="45"/>
      <c r="M86" s="45"/>
      <c r="N86" s="45"/>
      <c r="O86" s="45">
        <v>14.99</v>
      </c>
      <c r="P86" s="29">
        <f>+P85+Table134[[#This Row],[Avance]]-Table134[[#This Row],[Pagado por MVPX]]</f>
        <v>-386.27843894079285</v>
      </c>
    </row>
    <row r="87" spans="2:16" x14ac:dyDescent="0.45">
      <c r="B87" s="47">
        <v>45838</v>
      </c>
      <c r="C87" s="43"/>
      <c r="D87" s="43"/>
      <c r="E87" s="43"/>
      <c r="F87" s="43"/>
      <c r="G87" s="43" t="s">
        <v>304</v>
      </c>
      <c r="H87" s="45"/>
      <c r="I87" s="45"/>
      <c r="J87" s="45"/>
      <c r="K87" s="45"/>
      <c r="L87" s="45"/>
      <c r="M87" s="45"/>
      <c r="N87" s="45"/>
      <c r="O87" s="45">
        <v>14.99</v>
      </c>
      <c r="P87" s="29">
        <f>+P86+Table134[[#This Row],[Avance]]-Table134[[#This Row],[Pagado por MVPX]]</f>
        <v>-371.28843894079284</v>
      </c>
    </row>
    <row r="88" spans="2:16" x14ac:dyDescent="0.45">
      <c r="B88" s="47">
        <v>45868</v>
      </c>
      <c r="C88" s="43"/>
      <c r="D88" s="43"/>
      <c r="E88" s="43"/>
      <c r="F88" s="43"/>
      <c r="G88" s="43" t="s">
        <v>304</v>
      </c>
      <c r="H88" s="45"/>
      <c r="I88" s="45"/>
      <c r="J88" s="45"/>
      <c r="K88" s="45"/>
      <c r="L88" s="45"/>
      <c r="M88" s="45"/>
      <c r="N88" s="45"/>
      <c r="O88" s="45">
        <v>14.99</v>
      </c>
      <c r="P88" s="29">
        <f>+P87+Table134[[#This Row],[Avance]]-Table134[[#This Row],[Pagado por MVPX]]</f>
        <v>-356.29843894079283</v>
      </c>
    </row>
    <row r="89" spans="2:16" ht="18.75" thickBot="1" x14ac:dyDescent="0.5">
      <c r="B89" s="47">
        <v>45899</v>
      </c>
      <c r="C89" s="43"/>
      <c r="D89" s="43"/>
      <c r="E89" s="43"/>
      <c r="F89" s="43"/>
      <c r="G89" s="43" t="s">
        <v>304</v>
      </c>
      <c r="H89" s="45"/>
      <c r="I89" s="45"/>
      <c r="J89" s="45"/>
      <c r="K89" s="45"/>
      <c r="L89" s="45"/>
      <c r="M89" s="45"/>
      <c r="N89" s="45"/>
      <c r="O89" s="45">
        <v>14.99</v>
      </c>
      <c r="P89" s="29">
        <f>+P88+Table134[[#This Row],[Avance]]-Table134[[#This Row],[Pagado por MVPX]]</f>
        <v>-341.30843894079283</v>
      </c>
    </row>
    <row r="90" spans="2:16" ht="18.75" thickBot="1" x14ac:dyDescent="0.5">
      <c r="B90" s="22"/>
      <c r="C90" s="23"/>
      <c r="D90" s="23"/>
      <c r="E90" s="23"/>
      <c r="F90" s="23"/>
      <c r="G90" s="34" t="s">
        <v>356</v>
      </c>
      <c r="H90" s="35">
        <f>SUBTOTAL(109,Table134[Valor de la Factura del Cliente])</f>
        <v>88894.69</v>
      </c>
      <c r="I90" s="35">
        <f>SUBTOTAL(109,Table134[Cargos Bancarios])</f>
        <v>0</v>
      </c>
      <c r="J90" s="35"/>
      <c r="K90" s="35">
        <f>SUBTOTAL(109,Table134[20% Comisión])</f>
        <v>-18380.996500000001</v>
      </c>
      <c r="L90" s="35">
        <f>SUBTOTAL(109,Table134[5% Legal])</f>
        <v>0</v>
      </c>
      <c r="M90" s="35">
        <f>SUBTOTAL(109,Table134[Retención de Impuestos])</f>
        <v>0</v>
      </c>
      <c r="N90" s="35">
        <f>SUBTOTAL(109,Table134[Pagado por MVPX])</f>
        <v>70517.433500000014</v>
      </c>
      <c r="O90" s="35">
        <f>SUBTOTAL(109,Table134[Avance])</f>
        <v>70176.125061059327</v>
      </c>
      <c r="P90" s="36">
        <f>+P89</f>
        <v>-341.30843894079283</v>
      </c>
    </row>
  </sheetData>
  <mergeCells count="1">
    <mergeCell ref="B7:P7"/>
  </mergeCells>
  <printOptions horizontalCentered="1"/>
  <pageMargins left="0.25" right="0.25" top="0.75" bottom="0.75" header="0.3" footer="0.3"/>
  <pageSetup scale="48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C494-BB9C-4F2C-9882-F8BC2DA5EF6C}">
  <sheetPr>
    <pageSetUpPr fitToPage="1"/>
  </sheetPr>
  <dimension ref="B1:P28"/>
  <sheetViews>
    <sheetView showGridLines="0" view="pageLayout" zoomScale="85" zoomScaleNormal="100" zoomScaleSheetLayoutView="100" zoomScalePageLayoutView="85" workbookViewId="0">
      <selection activeCell="J13" sqref="J13"/>
    </sheetView>
  </sheetViews>
  <sheetFormatPr defaultRowHeight="18" x14ac:dyDescent="0.45"/>
  <cols>
    <col min="1" max="1" width="1" style="8" customWidth="1"/>
    <col min="2" max="2" width="11.14062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5703125" style="8" customWidth="1"/>
    <col min="7" max="7" width="47.5703125" style="8" customWidth="1"/>
    <col min="8" max="8" width="12.2851562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.85546875" style="8" customWidth="1"/>
    <col min="16" max="16" width="14.5703125" style="8" customWidth="1"/>
    <col min="17" max="16384" width="9.140625" style="8"/>
  </cols>
  <sheetData>
    <row r="1" spans="2:16" x14ac:dyDescent="0.45">
      <c r="O1" s="8" t="s">
        <v>60</v>
      </c>
    </row>
    <row r="2" spans="2:16" ht="18" customHeight="1" x14ac:dyDescent="0.45">
      <c r="I2" s="10"/>
      <c r="J2" s="10"/>
      <c r="K2" s="10"/>
      <c r="M2" s="9"/>
      <c r="O2" s="9" t="s">
        <v>61</v>
      </c>
    </row>
    <row r="3" spans="2:16" ht="18" customHeight="1" x14ac:dyDescent="0.45">
      <c r="H3" s="10"/>
      <c r="I3" s="10"/>
      <c r="J3" s="10"/>
      <c r="K3" s="10"/>
      <c r="O3" s="8" t="s">
        <v>62</v>
      </c>
    </row>
    <row r="4" spans="2:16" ht="18" customHeight="1" x14ac:dyDescent="0.45">
      <c r="H4" s="10"/>
      <c r="I4" s="10"/>
      <c r="J4" s="10"/>
      <c r="K4" s="10"/>
      <c r="L4" s="10"/>
      <c r="M4" s="10"/>
    </row>
    <row r="5" spans="2:16" ht="18" customHeight="1" thickBot="1" x14ac:dyDescent="0.5">
      <c r="H5" s="10"/>
      <c r="I5" s="10"/>
      <c r="J5" s="10"/>
      <c r="K5" s="10"/>
      <c r="L5" s="10"/>
      <c r="M5" s="10"/>
    </row>
    <row r="6" spans="2:16" ht="18" customHeight="1" x14ac:dyDescent="0.45">
      <c r="B6" s="13" t="s">
        <v>352</v>
      </c>
      <c r="C6" s="14"/>
      <c r="D6" s="15"/>
      <c r="E6" s="14" t="str">
        <f>+'Base de datos'!B15</f>
        <v>Borngud</v>
      </c>
      <c r="F6" s="14"/>
      <c r="G6" s="16"/>
      <c r="H6" s="10"/>
      <c r="I6" s="10"/>
      <c r="J6" s="10"/>
      <c r="K6" s="10"/>
      <c r="L6" s="10"/>
      <c r="M6" s="10"/>
    </row>
    <row r="7" spans="2:16" ht="18" customHeight="1" x14ac:dyDescent="0.45">
      <c r="B7" s="17" t="s">
        <v>353</v>
      </c>
      <c r="E7" s="8" t="str">
        <f>+'Base de datos'!E15</f>
        <v>Jhon Emanuel</v>
      </c>
      <c r="G7" s="18"/>
      <c r="H7" s="10"/>
      <c r="I7" s="10"/>
      <c r="J7" s="10"/>
      <c r="K7" s="10"/>
      <c r="L7" s="10"/>
      <c r="M7" s="10"/>
    </row>
    <row r="8" spans="2:16" x14ac:dyDescent="0.45">
      <c r="B8" s="17" t="s">
        <v>354</v>
      </c>
      <c r="E8" s="37">
        <f>MIN(Table135[Fecha])</f>
        <v>45447</v>
      </c>
      <c r="G8" s="18"/>
    </row>
    <row r="9" spans="2:16" ht="18.75" thickBot="1" x14ac:dyDescent="0.5">
      <c r="B9" s="19" t="s">
        <v>343</v>
      </c>
      <c r="C9" s="20"/>
      <c r="D9" s="20"/>
      <c r="E9" s="38">
        <f>MAX(Table135[Fecha])</f>
        <v>45923</v>
      </c>
      <c r="F9" s="20"/>
      <c r="G9" s="21"/>
    </row>
    <row r="10" spans="2:16" ht="18.75" thickBot="1" x14ac:dyDescent="0.5"/>
    <row r="11" spans="2:16" x14ac:dyDescent="0.45">
      <c r="B11" s="75" t="s">
        <v>345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</row>
    <row r="12" spans="2:16" s="11" customFormat="1" ht="69.75" thickBot="1" x14ac:dyDescent="0.5">
      <c r="B12" s="39" t="s">
        <v>63</v>
      </c>
      <c r="C12" s="40" t="s">
        <v>349</v>
      </c>
      <c r="D12" s="40" t="s">
        <v>344</v>
      </c>
      <c r="E12" s="40" t="s">
        <v>350</v>
      </c>
      <c r="F12" s="40" t="s">
        <v>64</v>
      </c>
      <c r="G12" s="40" t="s">
        <v>65</v>
      </c>
      <c r="H12" s="40" t="s">
        <v>351</v>
      </c>
      <c r="I12" s="40" t="s">
        <v>66</v>
      </c>
      <c r="J12" s="40" t="s">
        <v>548</v>
      </c>
      <c r="K12" s="40" t="s">
        <v>347</v>
      </c>
      <c r="L12" s="40" t="s">
        <v>348</v>
      </c>
      <c r="M12" s="40" t="s">
        <v>346</v>
      </c>
      <c r="N12" s="40" t="s">
        <v>357</v>
      </c>
      <c r="O12" s="40" t="s">
        <v>295</v>
      </c>
      <c r="P12" s="41" t="s">
        <v>67</v>
      </c>
    </row>
    <row r="13" spans="2:16" s="12" customFormat="1" x14ac:dyDescent="0.25">
      <c r="B13" s="46">
        <v>45447</v>
      </c>
      <c r="C13" s="24"/>
      <c r="D13" s="24"/>
      <c r="E13" s="24"/>
      <c r="F13" s="24" t="s">
        <v>119</v>
      </c>
      <c r="G13" s="24" t="s">
        <v>122</v>
      </c>
      <c r="H13" s="25">
        <v>0</v>
      </c>
      <c r="I13" s="25">
        <v>0</v>
      </c>
      <c r="J13" s="25"/>
      <c r="K13" s="25">
        <v>0</v>
      </c>
      <c r="L13" s="25">
        <v>0</v>
      </c>
      <c r="M13" s="25">
        <v>0</v>
      </c>
      <c r="N13" s="25">
        <v>-125</v>
      </c>
      <c r="O13" s="25"/>
      <c r="P13" s="26">
        <f>SUM(Table135[[#This Row],[Valor de la Factura del Cliente]:[Avance]])</f>
        <v>-125</v>
      </c>
    </row>
    <row r="14" spans="2:16" s="12" customFormat="1" x14ac:dyDescent="0.25">
      <c r="B14" s="47">
        <v>45490</v>
      </c>
      <c r="C14" s="27"/>
      <c r="D14" s="27"/>
      <c r="E14" s="27"/>
      <c r="F14" s="27" t="s">
        <v>120</v>
      </c>
      <c r="G14" s="27" t="s">
        <v>123</v>
      </c>
      <c r="H14" s="28">
        <v>0</v>
      </c>
      <c r="I14" s="28">
        <v>0</v>
      </c>
      <c r="J14" s="25"/>
      <c r="K14" s="25">
        <v>0</v>
      </c>
      <c r="L14" s="25">
        <v>0</v>
      </c>
      <c r="M14" s="25">
        <v>0</v>
      </c>
      <c r="N14" s="28">
        <v>-267.99</v>
      </c>
      <c r="O14" s="28"/>
      <c r="P14" s="29">
        <f>SUM(Table135[[#This Row],[Valor de la Factura del Cliente]:[Avance]])+P13</f>
        <v>-392.99</v>
      </c>
    </row>
    <row r="15" spans="2:16" s="12" customFormat="1" x14ac:dyDescent="0.25">
      <c r="B15" s="47">
        <v>45489</v>
      </c>
      <c r="C15" s="27"/>
      <c r="D15" s="27"/>
      <c r="E15" s="27"/>
      <c r="F15" s="27" t="s">
        <v>127</v>
      </c>
      <c r="G15" s="27" t="s">
        <v>124</v>
      </c>
      <c r="H15" s="28">
        <v>0</v>
      </c>
      <c r="I15" s="28">
        <v>0</v>
      </c>
      <c r="J15" s="25"/>
      <c r="K15" s="25">
        <v>0</v>
      </c>
      <c r="L15" s="25">
        <v>0</v>
      </c>
      <c r="M15" s="25">
        <v>0</v>
      </c>
      <c r="N15" s="28">
        <v>-50</v>
      </c>
      <c r="O15" s="28"/>
      <c r="P15" s="29">
        <f>SUM(Table135[[#This Row],[Valor de la Factura del Cliente]:[Avance]])+P14</f>
        <v>-442.99</v>
      </c>
    </row>
    <row r="16" spans="2:16" s="12" customFormat="1" x14ac:dyDescent="0.25">
      <c r="B16" s="47">
        <v>45505</v>
      </c>
      <c r="C16" s="27"/>
      <c r="D16" s="27"/>
      <c r="E16" s="27"/>
      <c r="F16" s="27" t="s">
        <v>121</v>
      </c>
      <c r="G16" s="27" t="s">
        <v>30</v>
      </c>
      <c r="H16" s="28">
        <v>0</v>
      </c>
      <c r="I16" s="28">
        <v>0</v>
      </c>
      <c r="J16" s="25"/>
      <c r="K16" s="25">
        <v>0</v>
      </c>
      <c r="L16" s="25">
        <v>0</v>
      </c>
      <c r="M16" s="25">
        <v>0</v>
      </c>
      <c r="N16" s="28">
        <v>-212.99</v>
      </c>
      <c r="O16" s="28"/>
      <c r="P16" s="29">
        <f>SUM(Table135[[#This Row],[Valor de la Factura del Cliente]:[Avance]])+P15</f>
        <v>-655.98</v>
      </c>
    </row>
    <row r="17" spans="2:16" s="12" customFormat="1" x14ac:dyDescent="0.25">
      <c r="B17" s="47">
        <v>45674</v>
      </c>
      <c r="C17" s="27"/>
      <c r="D17" s="27"/>
      <c r="E17" s="27"/>
      <c r="F17" s="27" t="s">
        <v>121</v>
      </c>
      <c r="G17" s="27" t="s">
        <v>125</v>
      </c>
      <c r="H17" s="28">
        <v>0</v>
      </c>
      <c r="I17" s="28">
        <v>0</v>
      </c>
      <c r="J17" s="25"/>
      <c r="K17" s="25">
        <v>0</v>
      </c>
      <c r="L17" s="25">
        <v>0</v>
      </c>
      <c r="M17" s="25">
        <v>0</v>
      </c>
      <c r="N17" s="28">
        <v>-150</v>
      </c>
      <c r="O17" s="28"/>
      <c r="P17" s="29">
        <f>SUM(Table135[[#This Row],[Valor de la Factura del Cliente]:[Avance]])+P16</f>
        <v>-805.98</v>
      </c>
    </row>
    <row r="18" spans="2:16" s="12" customFormat="1" x14ac:dyDescent="0.25">
      <c r="B18" s="47">
        <v>45692</v>
      </c>
      <c r="C18" s="27"/>
      <c r="D18" s="27"/>
      <c r="E18" s="27"/>
      <c r="F18" s="27" t="s">
        <v>121</v>
      </c>
      <c r="G18" s="27" t="s">
        <v>126</v>
      </c>
      <c r="H18" s="28">
        <v>0</v>
      </c>
      <c r="I18" s="28">
        <v>0</v>
      </c>
      <c r="J18" s="25"/>
      <c r="K18" s="25">
        <v>0</v>
      </c>
      <c r="L18" s="25">
        <v>0</v>
      </c>
      <c r="M18" s="25">
        <v>0</v>
      </c>
      <c r="N18" s="28">
        <v>-50</v>
      </c>
      <c r="O18" s="28"/>
      <c r="P18" s="29">
        <f>SUM(Table135[[#This Row],[Valor de la Factura del Cliente]:[Avance]])+P17</f>
        <v>-855.98</v>
      </c>
    </row>
    <row r="19" spans="2:16" s="12" customFormat="1" x14ac:dyDescent="0.25">
      <c r="B19" s="47">
        <v>45714</v>
      </c>
      <c r="C19" s="27"/>
      <c r="D19" s="27"/>
      <c r="E19" s="27"/>
      <c r="F19" s="27" t="s">
        <v>121</v>
      </c>
      <c r="G19" s="27" t="s">
        <v>126</v>
      </c>
      <c r="H19" s="28">
        <v>0</v>
      </c>
      <c r="I19" s="28">
        <v>0</v>
      </c>
      <c r="J19" s="25"/>
      <c r="K19" s="25">
        <v>0</v>
      </c>
      <c r="L19" s="25">
        <v>0</v>
      </c>
      <c r="M19" s="25">
        <v>0</v>
      </c>
      <c r="N19" s="28">
        <v>-200</v>
      </c>
      <c r="O19" s="28"/>
      <c r="P19" s="29">
        <f>SUM(Table135[[#This Row],[Valor de la Factura del Cliente]:[Avance]])+P18</f>
        <v>-1055.98</v>
      </c>
    </row>
    <row r="20" spans="2:16" s="12" customFormat="1" x14ac:dyDescent="0.25">
      <c r="B20" s="47">
        <v>45737</v>
      </c>
      <c r="C20" s="27"/>
      <c r="D20" s="27"/>
      <c r="E20" s="27"/>
      <c r="F20" s="27" t="s">
        <v>121</v>
      </c>
      <c r="G20" s="27" t="s">
        <v>126</v>
      </c>
      <c r="H20" s="28">
        <v>0</v>
      </c>
      <c r="I20" s="28">
        <v>0</v>
      </c>
      <c r="J20" s="25"/>
      <c r="K20" s="25">
        <v>0</v>
      </c>
      <c r="L20" s="25">
        <v>0</v>
      </c>
      <c r="M20" s="25">
        <v>0</v>
      </c>
      <c r="N20" s="28">
        <v>-70</v>
      </c>
      <c r="O20" s="28"/>
      <c r="P20" s="29">
        <f>SUM(Table135[[#This Row],[Valor de la Factura del Cliente]:[Avance]])+P19</f>
        <v>-1125.98</v>
      </c>
    </row>
    <row r="21" spans="2:16" s="12" customFormat="1" x14ac:dyDescent="0.25">
      <c r="B21" s="47">
        <v>45741</v>
      </c>
      <c r="C21" s="27"/>
      <c r="D21" s="27"/>
      <c r="E21" s="27"/>
      <c r="F21" s="27" t="s">
        <v>121</v>
      </c>
      <c r="G21" s="27" t="s">
        <v>126</v>
      </c>
      <c r="H21" s="28">
        <v>0</v>
      </c>
      <c r="I21" s="28">
        <v>0</v>
      </c>
      <c r="J21" s="25"/>
      <c r="K21" s="25">
        <v>0</v>
      </c>
      <c r="L21" s="25">
        <v>0</v>
      </c>
      <c r="M21" s="25">
        <v>0</v>
      </c>
      <c r="N21" s="28">
        <v>-200</v>
      </c>
      <c r="O21" s="28"/>
      <c r="P21" s="29">
        <f>SUM(Table135[[#This Row],[Valor de la Factura del Cliente]:[Avance]])+P20</f>
        <v>-1325.98</v>
      </c>
    </row>
    <row r="22" spans="2:16" s="12" customFormat="1" x14ac:dyDescent="0.25">
      <c r="B22" s="47">
        <v>45797</v>
      </c>
      <c r="C22" s="27"/>
      <c r="D22" s="27"/>
      <c r="E22" s="27"/>
      <c r="F22" s="27" t="s">
        <v>121</v>
      </c>
      <c r="G22" s="27" t="s">
        <v>126</v>
      </c>
      <c r="H22" s="28">
        <v>0</v>
      </c>
      <c r="I22" s="28">
        <v>0</v>
      </c>
      <c r="J22" s="25"/>
      <c r="K22" s="25">
        <v>0</v>
      </c>
      <c r="L22" s="25">
        <v>0</v>
      </c>
      <c r="M22" s="25">
        <v>0</v>
      </c>
      <c r="N22" s="28">
        <v>-520</v>
      </c>
      <c r="O22" s="28"/>
      <c r="P22" s="29">
        <f>SUM(Table135[[#This Row],[Valor de la Factura del Cliente]:[Avance]])+P21</f>
        <v>-1845.98</v>
      </c>
    </row>
    <row r="23" spans="2:16" s="12" customFormat="1" x14ac:dyDescent="0.25">
      <c r="B23" s="47">
        <v>45829</v>
      </c>
      <c r="C23" s="27"/>
      <c r="D23" s="27"/>
      <c r="E23" s="27"/>
      <c r="F23" s="27" t="s">
        <v>121</v>
      </c>
      <c r="G23" s="27" t="s">
        <v>126</v>
      </c>
      <c r="H23" s="28">
        <v>0</v>
      </c>
      <c r="I23" s="28">
        <v>0</v>
      </c>
      <c r="J23" s="25"/>
      <c r="K23" s="25">
        <v>0</v>
      </c>
      <c r="L23" s="25">
        <v>0</v>
      </c>
      <c r="M23" s="25">
        <v>0</v>
      </c>
      <c r="N23" s="28">
        <v>-400</v>
      </c>
      <c r="O23" s="28"/>
      <c r="P23" s="29">
        <f>SUM(Table135[[#This Row],[Valor de la Factura del Cliente]:[Avance]])+P22</f>
        <v>-2245.98</v>
      </c>
    </row>
    <row r="24" spans="2:16" s="12" customFormat="1" x14ac:dyDescent="0.25">
      <c r="B24" s="47">
        <v>45853</v>
      </c>
      <c r="C24" s="27"/>
      <c r="D24" s="27"/>
      <c r="E24" s="27"/>
      <c r="F24" s="27" t="s">
        <v>121</v>
      </c>
      <c r="G24" s="27" t="s">
        <v>126</v>
      </c>
      <c r="H24" s="28">
        <v>0</v>
      </c>
      <c r="I24" s="28">
        <v>0</v>
      </c>
      <c r="J24" s="25"/>
      <c r="K24" s="25">
        <v>0</v>
      </c>
      <c r="L24" s="25">
        <v>0</v>
      </c>
      <c r="M24" s="25">
        <v>0</v>
      </c>
      <c r="N24" s="28">
        <v>-600</v>
      </c>
      <c r="O24" s="28"/>
      <c r="P24" s="29">
        <f>SUM(Table135[[#This Row],[Valor de la Factura del Cliente]:[Avance]])+P23</f>
        <v>-2845.98</v>
      </c>
    </row>
    <row r="25" spans="2:16" s="12" customFormat="1" x14ac:dyDescent="0.25">
      <c r="B25" s="47">
        <v>45862</v>
      </c>
      <c r="C25" s="27"/>
      <c r="D25" s="27"/>
      <c r="E25" s="27"/>
      <c r="F25" s="27" t="s">
        <v>121</v>
      </c>
      <c r="G25" s="27" t="s">
        <v>126</v>
      </c>
      <c r="H25" s="28">
        <v>0</v>
      </c>
      <c r="I25" s="28">
        <v>0</v>
      </c>
      <c r="J25" s="25"/>
      <c r="K25" s="25">
        <v>0</v>
      </c>
      <c r="L25" s="25">
        <v>0</v>
      </c>
      <c r="M25" s="25">
        <v>0</v>
      </c>
      <c r="N25" s="28">
        <v>-600</v>
      </c>
      <c r="O25" s="28"/>
      <c r="P25" s="29">
        <f>SUM(Table135[[#This Row],[Valor de la Factura del Cliente]:[Avance]])+P24</f>
        <v>-3445.98</v>
      </c>
    </row>
    <row r="26" spans="2:16" s="12" customFormat="1" x14ac:dyDescent="0.25">
      <c r="B26" s="47">
        <v>45896</v>
      </c>
      <c r="C26" s="27"/>
      <c r="D26" s="27"/>
      <c r="E26" s="27"/>
      <c r="F26" s="27" t="s">
        <v>121</v>
      </c>
      <c r="G26" s="27" t="s">
        <v>126</v>
      </c>
      <c r="H26" s="28">
        <v>0</v>
      </c>
      <c r="I26" s="28">
        <v>0</v>
      </c>
      <c r="J26" s="25"/>
      <c r="K26" s="25">
        <v>0</v>
      </c>
      <c r="L26" s="25">
        <v>0</v>
      </c>
      <c r="M26" s="25">
        <v>0</v>
      </c>
      <c r="N26" s="28">
        <v>-300</v>
      </c>
      <c r="O26" s="28"/>
      <c r="P26" s="29">
        <f>SUM(Table135[[#This Row],[Valor de la Factura del Cliente]:[Avance]])+P25</f>
        <v>-3745.98</v>
      </c>
    </row>
    <row r="27" spans="2:16" s="12" customFormat="1" ht="18.75" thickBot="1" x14ac:dyDescent="0.3">
      <c r="B27" s="47">
        <v>45923</v>
      </c>
      <c r="C27" s="27"/>
      <c r="D27" s="27"/>
      <c r="E27" s="27"/>
      <c r="F27" s="27" t="s">
        <v>121</v>
      </c>
      <c r="G27" s="27" t="s">
        <v>126</v>
      </c>
      <c r="H27" s="28">
        <v>0</v>
      </c>
      <c r="I27" s="28">
        <v>0</v>
      </c>
      <c r="J27" s="25"/>
      <c r="K27" s="25">
        <v>0</v>
      </c>
      <c r="L27" s="25">
        <v>0</v>
      </c>
      <c r="M27" s="25">
        <v>0</v>
      </c>
      <c r="N27" s="28">
        <v>-900</v>
      </c>
      <c r="O27" s="28"/>
      <c r="P27" s="29">
        <f>SUM(Table135[[#This Row],[Valor de la Factura del Cliente]:[Avance]])+P26</f>
        <v>-4645.9799999999996</v>
      </c>
    </row>
    <row r="28" spans="2:16" ht="18.75" thickBot="1" x14ac:dyDescent="0.5">
      <c r="B28" s="22"/>
      <c r="C28" s="23"/>
      <c r="D28" s="23"/>
      <c r="E28" s="23"/>
      <c r="F28" s="23"/>
      <c r="G28" s="34" t="s">
        <v>356</v>
      </c>
      <c r="H28" s="35">
        <f>SUBTOTAL(109,Table135[Valor de la Factura del Cliente])</f>
        <v>0</v>
      </c>
      <c r="I28" s="35">
        <f>SUBTOTAL(109,Table135[Cargos Bancarios])</f>
        <v>0</v>
      </c>
      <c r="J28" s="35"/>
      <c r="K28" s="35">
        <f>SUBTOTAL(109,Table135[20% Comisión])</f>
        <v>0</v>
      </c>
      <c r="L28" s="35">
        <f>SUBTOTAL(109,Table135[5% Legal])</f>
        <v>0</v>
      </c>
      <c r="M28" s="35">
        <f>SUBTOTAL(109,Table135[Retención de Impuestos])</f>
        <v>0</v>
      </c>
      <c r="N28" s="35">
        <f>SUBTOTAL(109,Table135[Pagado por MVPX])</f>
        <v>-4645.9799999999996</v>
      </c>
      <c r="O28" s="35">
        <f>SUBTOTAL(109,Table135[Avance])</f>
        <v>0</v>
      </c>
      <c r="P28" s="36">
        <f>SUM(Table135[[#Totals],[Valor de la Factura del Cliente]:[Avance]])</f>
        <v>-4645.9799999999996</v>
      </c>
    </row>
  </sheetData>
  <mergeCells count="1">
    <mergeCell ref="B11:P11"/>
  </mergeCells>
  <hyperlinks>
    <hyperlink ref="O2" r:id="rId1" xr:uid="{4DCEFF5A-86C5-4350-8966-300834E02354}"/>
  </hyperlinks>
  <printOptions horizontalCentered="1"/>
  <pageMargins left="0.25" right="0.25" top="0.75" bottom="0.75" header="0.3" footer="0.3"/>
  <pageSetup scale="52" fitToHeight="0" orientation="landscape" r:id="rId2"/>
  <headerFooter>
    <oddFooter>&amp;LPublisher: Most Valuable Player X (BMI)
IPI: 01031373209&amp;CPage &amp;P of &amp;N</oddFooter>
  </headerFooter>
  <drawing r:id="rId3"/>
  <tableParts count="1"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6C3E-1A99-4317-A62F-19B76223CF1E}">
  <sheetPr>
    <pageSetUpPr fitToPage="1"/>
  </sheetPr>
  <dimension ref="B1:P44"/>
  <sheetViews>
    <sheetView showGridLines="0" showWhiteSpace="0" view="pageLayout" zoomScale="85" zoomScaleNormal="100" zoomScaleSheetLayoutView="100" zoomScalePageLayoutView="85" workbookViewId="0">
      <selection activeCell="K22" sqref="K22"/>
    </sheetView>
  </sheetViews>
  <sheetFormatPr defaultRowHeight="18" x14ac:dyDescent="0.45"/>
  <cols>
    <col min="1" max="1" width="1" style="8" customWidth="1"/>
    <col min="2" max="2" width="11.14062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5703125" style="8" customWidth="1"/>
    <col min="7" max="7" width="47.5703125" style="8" customWidth="1"/>
    <col min="8" max="8" width="12.28515625" style="44" customWidth="1"/>
    <col min="9" max="10" width="14.42578125" style="44" customWidth="1"/>
    <col min="11" max="11" width="14" style="44" customWidth="1"/>
    <col min="12" max="12" width="14.140625" style="44" customWidth="1"/>
    <col min="13" max="13" width="16.5703125" style="44" customWidth="1"/>
    <col min="14" max="14" width="17" style="8" bestFit="1" customWidth="1"/>
    <col min="15" max="15" width="14.85546875" style="8" customWidth="1"/>
    <col min="16" max="16" width="14.5703125" style="8" customWidth="1"/>
    <col min="17" max="16384" width="9.140625" style="8"/>
  </cols>
  <sheetData>
    <row r="1" spans="2:16" x14ac:dyDescent="0.45">
      <c r="O1" s="8" t="s">
        <v>60</v>
      </c>
    </row>
    <row r="2" spans="2:16" ht="18" customHeight="1" x14ac:dyDescent="0.45">
      <c r="I2" s="59"/>
      <c r="J2" s="59"/>
      <c r="K2" s="59"/>
      <c r="M2" s="60"/>
      <c r="O2" s="9" t="s">
        <v>61</v>
      </c>
    </row>
    <row r="3" spans="2:16" ht="18" customHeight="1" x14ac:dyDescent="0.45">
      <c r="H3" s="59"/>
      <c r="I3" s="59"/>
      <c r="J3" s="59"/>
      <c r="K3" s="59"/>
      <c r="O3" s="8" t="s">
        <v>62</v>
      </c>
    </row>
    <row r="4" spans="2:16" ht="18" customHeight="1" x14ac:dyDescent="0.45">
      <c r="H4" s="59"/>
      <c r="I4" s="59"/>
      <c r="J4" s="59"/>
      <c r="K4" s="59"/>
      <c r="L4" s="59"/>
      <c r="M4" s="59"/>
    </row>
    <row r="5" spans="2:16" ht="18" customHeight="1" thickBot="1" x14ac:dyDescent="0.5">
      <c r="H5" s="59"/>
      <c r="I5" s="59"/>
      <c r="J5" s="59"/>
      <c r="K5" s="59"/>
      <c r="L5" s="59"/>
      <c r="M5" s="59"/>
    </row>
    <row r="6" spans="2:16" ht="18" customHeight="1" x14ac:dyDescent="0.45">
      <c r="B6" s="13" t="s">
        <v>352</v>
      </c>
      <c r="C6" s="14"/>
      <c r="D6" s="15"/>
      <c r="E6" s="50" t="s">
        <v>150</v>
      </c>
      <c r="F6" s="14"/>
      <c r="G6" s="16"/>
      <c r="H6" s="59"/>
      <c r="I6" s="59"/>
      <c r="J6" s="59"/>
      <c r="K6" s="59"/>
      <c r="L6" s="59"/>
      <c r="M6" s="59"/>
    </row>
    <row r="7" spans="2:16" ht="18" customHeight="1" x14ac:dyDescent="0.45">
      <c r="B7" s="17" t="s">
        <v>353</v>
      </c>
      <c r="G7" s="18"/>
      <c r="H7" s="59"/>
      <c r="I7" s="59"/>
      <c r="J7" s="59"/>
      <c r="K7" s="59"/>
      <c r="L7" s="59"/>
      <c r="M7" s="59"/>
    </row>
    <row r="8" spans="2:16" x14ac:dyDescent="0.45">
      <c r="B8" s="17" t="s">
        <v>354</v>
      </c>
      <c r="E8" s="37">
        <f>MIN(Table136[Fecha])</f>
        <v>44927</v>
      </c>
      <c r="G8" s="18"/>
    </row>
    <row r="9" spans="2:16" ht="18.75" thickBot="1" x14ac:dyDescent="0.5">
      <c r="B9" s="19" t="s">
        <v>343</v>
      </c>
      <c r="C9" s="20"/>
      <c r="D9" s="20"/>
      <c r="E9" s="38">
        <f>MAX(Table136[Fecha])</f>
        <v>45406</v>
      </c>
      <c r="F9" s="20"/>
      <c r="G9" s="21"/>
    </row>
    <row r="10" spans="2:16" ht="18.75" thickBot="1" x14ac:dyDescent="0.5"/>
    <row r="11" spans="2:16" x14ac:dyDescent="0.45">
      <c r="B11" s="75" t="s">
        <v>345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</row>
    <row r="12" spans="2:16" s="11" customFormat="1" ht="69.75" thickBot="1" x14ac:dyDescent="0.5">
      <c r="B12" s="39" t="s">
        <v>63</v>
      </c>
      <c r="C12" s="40" t="s">
        <v>349</v>
      </c>
      <c r="D12" s="40" t="s">
        <v>344</v>
      </c>
      <c r="E12" s="40" t="s">
        <v>350</v>
      </c>
      <c r="F12" s="40" t="s">
        <v>64</v>
      </c>
      <c r="G12" s="40" t="s">
        <v>65</v>
      </c>
      <c r="H12" s="61" t="s">
        <v>351</v>
      </c>
      <c r="I12" s="61" t="s">
        <v>66</v>
      </c>
      <c r="J12" s="61" t="s">
        <v>548</v>
      </c>
      <c r="K12" s="61" t="s">
        <v>347</v>
      </c>
      <c r="L12" s="61" t="s">
        <v>348</v>
      </c>
      <c r="M12" s="61" t="s">
        <v>346</v>
      </c>
      <c r="N12" s="40" t="s">
        <v>357</v>
      </c>
      <c r="O12" s="40" t="s">
        <v>295</v>
      </c>
      <c r="P12" s="41" t="s">
        <v>67</v>
      </c>
    </row>
    <row r="13" spans="2:16" s="12" customFormat="1" x14ac:dyDescent="0.25">
      <c r="B13" s="46">
        <v>44927</v>
      </c>
      <c r="C13" s="24"/>
      <c r="D13" s="24"/>
      <c r="E13" s="24"/>
      <c r="F13" s="24" t="s">
        <v>129</v>
      </c>
      <c r="G13" s="24" t="s">
        <v>132</v>
      </c>
      <c r="H13" s="1">
        <v>0</v>
      </c>
      <c r="I13" s="1">
        <v>0</v>
      </c>
      <c r="J13" s="1"/>
      <c r="K13" s="1">
        <v>0</v>
      </c>
      <c r="L13" s="1">
        <v>0</v>
      </c>
      <c r="M13" s="1">
        <v>0</v>
      </c>
      <c r="N13" s="25">
        <v>-500</v>
      </c>
      <c r="O13" s="25"/>
      <c r="P13" s="26">
        <f>SUM(Table136[[#This Row],[Valor de la Factura del Cliente]:[Avance]])</f>
        <v>-500</v>
      </c>
    </row>
    <row r="14" spans="2:16" s="12" customFormat="1" x14ac:dyDescent="0.25">
      <c r="B14" s="47">
        <v>44936</v>
      </c>
      <c r="C14" s="27"/>
      <c r="D14" s="27"/>
      <c r="E14" s="27"/>
      <c r="F14" s="27" t="s">
        <v>129</v>
      </c>
      <c r="G14" s="27" t="s">
        <v>132</v>
      </c>
      <c r="H14" s="1">
        <v>0</v>
      </c>
      <c r="I14" s="1">
        <v>0</v>
      </c>
      <c r="J14" s="1"/>
      <c r="K14" s="1">
        <v>0</v>
      </c>
      <c r="L14" s="1">
        <v>0</v>
      </c>
      <c r="M14" s="1">
        <v>0</v>
      </c>
      <c r="N14" s="28">
        <v>-400</v>
      </c>
      <c r="O14" s="28"/>
      <c r="P14" s="29">
        <f>SUM(Table136[[#This Row],[Valor de la Factura del Cliente]:[Avance]])+P13</f>
        <v>-900</v>
      </c>
    </row>
    <row r="15" spans="2:16" s="12" customFormat="1" x14ac:dyDescent="0.25">
      <c r="B15" s="47">
        <v>44937</v>
      </c>
      <c r="C15" s="27"/>
      <c r="D15" s="27"/>
      <c r="E15" s="27"/>
      <c r="F15" s="27" t="s">
        <v>129</v>
      </c>
      <c r="G15" s="27" t="s">
        <v>133</v>
      </c>
      <c r="H15" s="1">
        <v>0</v>
      </c>
      <c r="I15" s="1">
        <v>0</v>
      </c>
      <c r="J15" s="1"/>
      <c r="K15" s="1">
        <v>0</v>
      </c>
      <c r="L15" s="1">
        <v>0</v>
      </c>
      <c r="M15" s="1">
        <v>0</v>
      </c>
      <c r="N15" s="28">
        <v>-29.83</v>
      </c>
      <c r="O15" s="28"/>
      <c r="P15" s="29">
        <f>SUM(Table136[[#This Row],[Valor de la Factura del Cliente]:[Avance]])+P14</f>
        <v>-929.83</v>
      </c>
    </row>
    <row r="16" spans="2:16" s="12" customFormat="1" x14ac:dyDescent="0.25">
      <c r="B16" s="47">
        <v>44939</v>
      </c>
      <c r="C16" s="27"/>
      <c r="D16" s="27"/>
      <c r="E16" s="27"/>
      <c r="F16" s="27" t="s">
        <v>129</v>
      </c>
      <c r="G16" s="27" t="s">
        <v>132</v>
      </c>
      <c r="H16" s="1">
        <v>0</v>
      </c>
      <c r="I16" s="1">
        <v>0</v>
      </c>
      <c r="J16" s="1"/>
      <c r="K16" s="1">
        <v>0</v>
      </c>
      <c r="L16" s="1">
        <v>0</v>
      </c>
      <c r="M16" s="1">
        <v>0</v>
      </c>
      <c r="N16" s="28">
        <v>-70</v>
      </c>
      <c r="O16" s="28"/>
      <c r="P16" s="29">
        <f>SUM(Table136[[#This Row],[Valor de la Factura del Cliente]:[Avance]])+P15</f>
        <v>-999.83</v>
      </c>
    </row>
    <row r="17" spans="2:16" s="12" customFormat="1" x14ac:dyDescent="0.25">
      <c r="B17" s="47">
        <v>44945</v>
      </c>
      <c r="C17" s="27"/>
      <c r="D17" s="27"/>
      <c r="E17" s="27"/>
      <c r="F17" s="27" t="s">
        <v>129</v>
      </c>
      <c r="G17" s="27" t="s">
        <v>134</v>
      </c>
      <c r="H17" s="1">
        <v>0</v>
      </c>
      <c r="I17" s="1">
        <v>0</v>
      </c>
      <c r="J17" s="1"/>
      <c r="K17" s="1">
        <v>0</v>
      </c>
      <c r="L17" s="1">
        <v>0</v>
      </c>
      <c r="M17" s="1">
        <v>0</v>
      </c>
      <c r="N17" s="28">
        <v>-140</v>
      </c>
      <c r="O17" s="28"/>
      <c r="P17" s="29">
        <f>SUM(Table136[[#This Row],[Valor de la Factura del Cliente]:[Avance]])+P16</f>
        <v>-1139.83</v>
      </c>
    </row>
    <row r="18" spans="2:16" s="12" customFormat="1" x14ac:dyDescent="0.25">
      <c r="B18" s="47">
        <v>44945</v>
      </c>
      <c r="C18" s="27"/>
      <c r="D18" s="27"/>
      <c r="E18" s="27"/>
      <c r="F18" s="27" t="s">
        <v>129</v>
      </c>
      <c r="G18" s="27" t="s">
        <v>133</v>
      </c>
      <c r="H18" s="1">
        <v>0</v>
      </c>
      <c r="I18" s="1">
        <v>0</v>
      </c>
      <c r="J18" s="1"/>
      <c r="K18" s="1">
        <v>0</v>
      </c>
      <c r="L18" s="1">
        <v>0</v>
      </c>
      <c r="M18" s="1">
        <v>0</v>
      </c>
      <c r="N18" s="28">
        <v>-24.9</v>
      </c>
      <c r="O18" s="28"/>
      <c r="P18" s="29">
        <f>SUM(Table136[[#This Row],[Valor de la Factura del Cliente]:[Avance]])+P17</f>
        <v>-1164.73</v>
      </c>
    </row>
    <row r="19" spans="2:16" s="12" customFormat="1" x14ac:dyDescent="0.25">
      <c r="B19" s="47">
        <v>44951</v>
      </c>
      <c r="C19" s="27"/>
      <c r="D19" s="27"/>
      <c r="E19" s="27"/>
      <c r="F19" s="27" t="s">
        <v>129</v>
      </c>
      <c r="G19" s="27" t="s">
        <v>133</v>
      </c>
      <c r="H19" s="1">
        <v>0</v>
      </c>
      <c r="I19" s="1">
        <v>0</v>
      </c>
      <c r="J19" s="1"/>
      <c r="K19" s="1">
        <v>0</v>
      </c>
      <c r="L19" s="1">
        <v>0</v>
      </c>
      <c r="M19" s="1">
        <v>0</v>
      </c>
      <c r="N19" s="28">
        <v>-25</v>
      </c>
      <c r="O19" s="28"/>
      <c r="P19" s="29">
        <f>SUM(Table136[[#This Row],[Valor de la Factura del Cliente]:[Avance]])+P18</f>
        <v>-1189.73</v>
      </c>
    </row>
    <row r="20" spans="2:16" s="12" customFormat="1" x14ac:dyDescent="0.25">
      <c r="B20" s="47">
        <v>44951</v>
      </c>
      <c r="C20" s="27"/>
      <c r="D20" s="27"/>
      <c r="E20" s="27"/>
      <c r="F20" s="27" t="s">
        <v>129</v>
      </c>
      <c r="G20" s="27" t="s">
        <v>133</v>
      </c>
      <c r="H20" s="1">
        <v>0</v>
      </c>
      <c r="I20" s="1">
        <v>0</v>
      </c>
      <c r="J20" s="1"/>
      <c r="K20" s="1">
        <v>0</v>
      </c>
      <c r="L20" s="1">
        <v>0</v>
      </c>
      <c r="M20" s="1">
        <v>0</v>
      </c>
      <c r="N20" s="28">
        <v>-45</v>
      </c>
      <c r="O20" s="28"/>
      <c r="P20" s="29">
        <f>SUM(Table136[[#This Row],[Valor de la Factura del Cliente]:[Avance]])+P19</f>
        <v>-1234.73</v>
      </c>
    </row>
    <row r="21" spans="2:16" s="12" customFormat="1" x14ac:dyDescent="0.25">
      <c r="B21" s="47">
        <v>44952</v>
      </c>
      <c r="C21" s="27"/>
      <c r="D21" s="27"/>
      <c r="E21" s="27"/>
      <c r="F21" s="27" t="s">
        <v>129</v>
      </c>
      <c r="G21" s="27" t="s">
        <v>135</v>
      </c>
      <c r="H21" s="1">
        <v>0</v>
      </c>
      <c r="I21" s="1">
        <v>0</v>
      </c>
      <c r="J21" s="1"/>
      <c r="K21" s="1">
        <v>0</v>
      </c>
      <c r="L21" s="1">
        <v>0</v>
      </c>
      <c r="M21" s="1">
        <v>0</v>
      </c>
      <c r="N21" s="28">
        <v>-19.14</v>
      </c>
      <c r="O21" s="28"/>
      <c r="P21" s="29">
        <f>SUM(Table136[[#This Row],[Valor de la Factura del Cliente]:[Avance]])+P20</f>
        <v>-1253.8700000000001</v>
      </c>
    </row>
    <row r="22" spans="2:16" s="12" customFormat="1" x14ac:dyDescent="0.25">
      <c r="B22" s="47">
        <v>44952</v>
      </c>
      <c r="C22" s="27"/>
      <c r="D22" s="27"/>
      <c r="E22" s="27"/>
      <c r="F22" s="27" t="s">
        <v>129</v>
      </c>
      <c r="G22" s="27" t="s">
        <v>133</v>
      </c>
      <c r="H22" s="1">
        <v>0</v>
      </c>
      <c r="I22" s="1">
        <v>0</v>
      </c>
      <c r="J22" s="1"/>
      <c r="K22" s="1">
        <v>0</v>
      </c>
      <c r="L22" s="1">
        <v>0</v>
      </c>
      <c r="M22" s="1">
        <v>0</v>
      </c>
      <c r="N22" s="28">
        <v>-19.5</v>
      </c>
      <c r="O22" s="28"/>
      <c r="P22" s="29">
        <f>SUM(Table136[[#This Row],[Valor de la Factura del Cliente]:[Avance]])+P21</f>
        <v>-1273.3700000000001</v>
      </c>
    </row>
    <row r="23" spans="2:16" s="12" customFormat="1" x14ac:dyDescent="0.25">
      <c r="B23" s="47">
        <v>44956</v>
      </c>
      <c r="C23" s="27"/>
      <c r="D23" s="27"/>
      <c r="E23" s="27"/>
      <c r="F23" s="27" t="s">
        <v>129</v>
      </c>
      <c r="G23" s="27" t="s">
        <v>136</v>
      </c>
      <c r="H23" s="1">
        <v>0</v>
      </c>
      <c r="I23" s="1">
        <v>0</v>
      </c>
      <c r="J23" s="1"/>
      <c r="K23" s="1">
        <v>0</v>
      </c>
      <c r="L23" s="1">
        <v>0</v>
      </c>
      <c r="M23" s="1">
        <v>0</v>
      </c>
      <c r="N23" s="28">
        <v>-13.77</v>
      </c>
      <c r="O23" s="28"/>
      <c r="P23" s="29">
        <f>SUM(Table136[[#This Row],[Valor de la Factura del Cliente]:[Avance]])+P22</f>
        <v>-1287.1400000000001</v>
      </c>
    </row>
    <row r="24" spans="2:16" s="12" customFormat="1" x14ac:dyDescent="0.25">
      <c r="B24" s="47">
        <v>44956</v>
      </c>
      <c r="C24" s="27"/>
      <c r="D24" s="27"/>
      <c r="E24" s="27"/>
      <c r="F24" s="27" t="s">
        <v>129</v>
      </c>
      <c r="G24" s="27" t="s">
        <v>136</v>
      </c>
      <c r="H24" s="1">
        <v>0</v>
      </c>
      <c r="I24" s="1">
        <v>0</v>
      </c>
      <c r="J24" s="1"/>
      <c r="K24" s="1">
        <v>0</v>
      </c>
      <c r="L24" s="1">
        <v>0</v>
      </c>
      <c r="M24" s="1">
        <v>0</v>
      </c>
      <c r="N24" s="28">
        <v>-33.450000000000003</v>
      </c>
      <c r="O24" s="28"/>
      <c r="P24" s="29">
        <f>SUM(Table136[[#This Row],[Valor de la Factura del Cliente]:[Avance]])+P23</f>
        <v>-1320.5900000000001</v>
      </c>
    </row>
    <row r="25" spans="2:16" s="12" customFormat="1" ht="36" x14ac:dyDescent="0.25">
      <c r="B25" s="47">
        <v>44958</v>
      </c>
      <c r="C25" s="27"/>
      <c r="D25" s="27"/>
      <c r="E25" s="27"/>
      <c r="F25" s="27" t="s">
        <v>129</v>
      </c>
      <c r="G25" s="27" t="s">
        <v>137</v>
      </c>
      <c r="H25" s="1">
        <v>0</v>
      </c>
      <c r="I25" s="1">
        <v>0</v>
      </c>
      <c r="J25" s="1"/>
      <c r="K25" s="1">
        <v>0</v>
      </c>
      <c r="L25" s="1">
        <v>0</v>
      </c>
      <c r="M25" s="1">
        <v>0</v>
      </c>
      <c r="N25" s="28">
        <v>-1000</v>
      </c>
      <c r="O25" s="28"/>
      <c r="P25" s="29">
        <f>SUM(Table136[[#This Row],[Valor de la Factura del Cliente]:[Avance]])+P24</f>
        <v>-2320.59</v>
      </c>
    </row>
    <row r="26" spans="2:16" s="12" customFormat="1" x14ac:dyDescent="0.25">
      <c r="B26" s="47">
        <v>44963</v>
      </c>
      <c r="C26" s="27"/>
      <c r="D26" s="27"/>
      <c r="E26" s="27"/>
      <c r="F26" s="27" t="s">
        <v>129</v>
      </c>
      <c r="G26" s="27" t="s">
        <v>138</v>
      </c>
      <c r="H26" s="1">
        <v>0</v>
      </c>
      <c r="I26" s="1">
        <v>0</v>
      </c>
      <c r="J26" s="1"/>
      <c r="K26" s="1">
        <v>0</v>
      </c>
      <c r="L26" s="1">
        <v>0</v>
      </c>
      <c r="M26" s="1">
        <v>0</v>
      </c>
      <c r="N26" s="28">
        <v>-90.9</v>
      </c>
      <c r="O26" s="28"/>
      <c r="P26" s="29">
        <f>SUM(Table136[[#This Row],[Valor de la Factura del Cliente]:[Avance]])+P25</f>
        <v>-2411.4900000000002</v>
      </c>
    </row>
    <row r="27" spans="2:16" s="12" customFormat="1" x14ac:dyDescent="0.25">
      <c r="B27" s="47">
        <v>44965</v>
      </c>
      <c r="C27" s="27"/>
      <c r="D27" s="27"/>
      <c r="E27" s="27"/>
      <c r="F27" s="27" t="s">
        <v>129</v>
      </c>
      <c r="G27" s="27" t="s">
        <v>139</v>
      </c>
      <c r="H27" s="1">
        <v>0</v>
      </c>
      <c r="I27" s="1">
        <v>0</v>
      </c>
      <c r="J27" s="1"/>
      <c r="K27" s="1">
        <v>0</v>
      </c>
      <c r="L27" s="1">
        <v>0</v>
      </c>
      <c r="M27" s="1">
        <v>0</v>
      </c>
      <c r="N27" s="28">
        <v>-325</v>
      </c>
      <c r="O27" s="28"/>
      <c r="P27" s="29">
        <f>SUM(Table136[[#This Row],[Valor de la Factura del Cliente]:[Avance]])+P26</f>
        <v>-2736.4900000000002</v>
      </c>
    </row>
    <row r="28" spans="2:16" s="12" customFormat="1" x14ac:dyDescent="0.25">
      <c r="B28" s="47">
        <v>44965</v>
      </c>
      <c r="C28" s="27"/>
      <c r="D28" s="27"/>
      <c r="E28" s="27"/>
      <c r="F28" s="27" t="s">
        <v>129</v>
      </c>
      <c r="G28" s="27" t="s">
        <v>140</v>
      </c>
      <c r="H28" s="1">
        <v>0</v>
      </c>
      <c r="I28" s="1">
        <v>0</v>
      </c>
      <c r="J28" s="1"/>
      <c r="K28" s="1">
        <v>0</v>
      </c>
      <c r="L28" s="1">
        <v>0</v>
      </c>
      <c r="M28" s="1">
        <v>0</v>
      </c>
      <c r="N28" s="28">
        <v>-92.51</v>
      </c>
      <c r="O28" s="28"/>
      <c r="P28" s="29">
        <f>SUM(Table136[[#This Row],[Valor de la Factura del Cliente]:[Avance]])+P27</f>
        <v>-2829.0000000000005</v>
      </c>
    </row>
    <row r="29" spans="2:16" s="12" customFormat="1" x14ac:dyDescent="0.25">
      <c r="B29" s="47">
        <v>44966</v>
      </c>
      <c r="C29" s="27"/>
      <c r="D29" s="27"/>
      <c r="E29" s="27"/>
      <c r="F29" s="27" t="s">
        <v>129</v>
      </c>
      <c r="G29" s="27" t="s">
        <v>141</v>
      </c>
      <c r="H29" s="1">
        <v>0</v>
      </c>
      <c r="I29" s="1">
        <v>0</v>
      </c>
      <c r="J29" s="1"/>
      <c r="K29" s="1">
        <v>0</v>
      </c>
      <c r="L29" s="1">
        <v>0</v>
      </c>
      <c r="M29" s="1">
        <v>0</v>
      </c>
      <c r="N29" s="28">
        <v>-325</v>
      </c>
      <c r="O29" s="28"/>
      <c r="P29" s="29">
        <f>SUM(Table136[[#This Row],[Valor de la Factura del Cliente]:[Avance]])+P28</f>
        <v>-3154.0000000000005</v>
      </c>
    </row>
    <row r="30" spans="2:16" s="12" customFormat="1" x14ac:dyDescent="0.25">
      <c r="B30" s="47">
        <v>44966</v>
      </c>
      <c r="C30" s="27"/>
      <c r="D30" s="27"/>
      <c r="E30" s="27"/>
      <c r="F30" s="27" t="s">
        <v>129</v>
      </c>
      <c r="G30" s="27" t="s">
        <v>142</v>
      </c>
      <c r="H30" s="1">
        <v>0</v>
      </c>
      <c r="I30" s="1">
        <v>0</v>
      </c>
      <c r="J30" s="1"/>
      <c r="K30" s="1">
        <v>0</v>
      </c>
      <c r="L30" s="1">
        <v>0</v>
      </c>
      <c r="M30" s="1">
        <v>0</v>
      </c>
      <c r="N30" s="28">
        <v>-357</v>
      </c>
      <c r="O30" s="28"/>
      <c r="P30" s="29">
        <f>SUM(Table136[[#This Row],[Valor de la Factura del Cliente]:[Avance]])+P29</f>
        <v>-3511.0000000000005</v>
      </c>
    </row>
    <row r="31" spans="2:16" s="12" customFormat="1" x14ac:dyDescent="0.25">
      <c r="B31" s="47">
        <v>44978</v>
      </c>
      <c r="C31" s="27"/>
      <c r="D31" s="27"/>
      <c r="E31" s="27"/>
      <c r="F31" s="27" t="s">
        <v>129</v>
      </c>
      <c r="G31" s="27" t="s">
        <v>133</v>
      </c>
      <c r="H31" s="1">
        <v>0</v>
      </c>
      <c r="I31" s="1">
        <v>0</v>
      </c>
      <c r="J31" s="1"/>
      <c r="K31" s="1">
        <v>0</v>
      </c>
      <c r="L31" s="1">
        <v>0</v>
      </c>
      <c r="M31" s="1">
        <v>0</v>
      </c>
      <c r="N31" s="28">
        <v>-53</v>
      </c>
      <c r="O31" s="28"/>
      <c r="P31" s="29">
        <f>SUM(Table136[[#This Row],[Valor de la Factura del Cliente]:[Avance]])+P30</f>
        <v>-3564.0000000000005</v>
      </c>
    </row>
    <row r="32" spans="2:16" s="12" customFormat="1" x14ac:dyDescent="0.25">
      <c r="B32" s="47">
        <v>44980</v>
      </c>
      <c r="C32" s="27"/>
      <c r="D32" s="27"/>
      <c r="E32" s="27"/>
      <c r="F32" s="27" t="s">
        <v>129</v>
      </c>
      <c r="G32" s="27" t="s">
        <v>133</v>
      </c>
      <c r="H32" s="1">
        <v>0</v>
      </c>
      <c r="I32" s="1">
        <v>0</v>
      </c>
      <c r="J32" s="1"/>
      <c r="K32" s="1">
        <v>0</v>
      </c>
      <c r="L32" s="1">
        <v>0</v>
      </c>
      <c r="M32" s="1">
        <v>0</v>
      </c>
      <c r="N32" s="28">
        <v>-24.14</v>
      </c>
      <c r="O32" s="28"/>
      <c r="P32" s="29">
        <f>SUM(Table136[[#This Row],[Valor de la Factura del Cliente]:[Avance]])+P31</f>
        <v>-3588.1400000000003</v>
      </c>
    </row>
    <row r="33" spans="2:16" s="12" customFormat="1" x14ac:dyDescent="0.25">
      <c r="B33" s="47">
        <v>44985</v>
      </c>
      <c r="C33" s="27"/>
      <c r="D33" s="27"/>
      <c r="E33" s="27"/>
      <c r="F33" s="27" t="s">
        <v>129</v>
      </c>
      <c r="G33" s="27" t="s">
        <v>133</v>
      </c>
      <c r="H33" s="1">
        <v>0</v>
      </c>
      <c r="I33" s="1">
        <v>0</v>
      </c>
      <c r="J33" s="1"/>
      <c r="K33" s="1">
        <v>0</v>
      </c>
      <c r="L33" s="1">
        <v>0</v>
      </c>
      <c r="M33" s="1">
        <v>0</v>
      </c>
      <c r="N33" s="28">
        <v>-20.71</v>
      </c>
      <c r="O33" s="28"/>
      <c r="P33" s="29">
        <f>SUM(Table136[[#This Row],[Valor de la Factura del Cliente]:[Avance]])+P32</f>
        <v>-3608.8500000000004</v>
      </c>
    </row>
    <row r="34" spans="2:16" s="12" customFormat="1" x14ac:dyDescent="0.25">
      <c r="B34" s="47">
        <v>44985</v>
      </c>
      <c r="C34" s="27"/>
      <c r="D34" s="27"/>
      <c r="E34" s="27"/>
      <c r="F34" s="27" t="s">
        <v>129</v>
      </c>
      <c r="G34" s="27" t="s">
        <v>133</v>
      </c>
      <c r="H34" s="1">
        <v>0</v>
      </c>
      <c r="I34" s="1">
        <v>0</v>
      </c>
      <c r="J34" s="1"/>
      <c r="K34" s="1">
        <v>0</v>
      </c>
      <c r="L34" s="1">
        <v>0</v>
      </c>
      <c r="M34" s="1">
        <v>0</v>
      </c>
      <c r="N34" s="28">
        <v>-148.5</v>
      </c>
      <c r="O34" s="28"/>
      <c r="P34" s="29">
        <f>SUM(Table136[[#This Row],[Valor de la Factura del Cliente]:[Avance]])+P33</f>
        <v>-3757.3500000000004</v>
      </c>
    </row>
    <row r="35" spans="2:16" s="12" customFormat="1" x14ac:dyDescent="0.25">
      <c r="B35" s="47">
        <v>44987</v>
      </c>
      <c r="C35" s="27"/>
      <c r="D35" s="27"/>
      <c r="E35" s="27"/>
      <c r="F35" s="27" t="s">
        <v>129</v>
      </c>
      <c r="G35" s="27" t="s">
        <v>133</v>
      </c>
      <c r="H35" s="1">
        <v>0</v>
      </c>
      <c r="I35" s="1">
        <v>0</v>
      </c>
      <c r="J35" s="1"/>
      <c r="K35" s="1">
        <v>0</v>
      </c>
      <c r="L35" s="1">
        <v>0</v>
      </c>
      <c r="M35" s="1">
        <v>0</v>
      </c>
      <c r="N35" s="28">
        <v>-20.71</v>
      </c>
      <c r="O35" s="28"/>
      <c r="P35" s="29">
        <f>SUM(Table136[[#This Row],[Valor de la Factura del Cliente]:[Avance]])+P34</f>
        <v>-3778.0600000000004</v>
      </c>
    </row>
    <row r="36" spans="2:16" s="12" customFormat="1" x14ac:dyDescent="0.25">
      <c r="B36" s="47">
        <v>44992</v>
      </c>
      <c r="C36" s="27"/>
      <c r="D36" s="27"/>
      <c r="E36" s="27"/>
      <c r="F36" s="27" t="s">
        <v>129</v>
      </c>
      <c r="G36" s="27" t="s">
        <v>143</v>
      </c>
      <c r="H36" s="1">
        <v>0</v>
      </c>
      <c r="I36" s="1">
        <v>0</v>
      </c>
      <c r="J36" s="1"/>
      <c r="K36" s="1">
        <v>0</v>
      </c>
      <c r="L36" s="1">
        <v>0</v>
      </c>
      <c r="M36" s="1">
        <v>0</v>
      </c>
      <c r="N36" s="28">
        <v>-30</v>
      </c>
      <c r="O36" s="28"/>
      <c r="P36" s="29">
        <f>SUM(Table136[[#This Row],[Valor de la Factura del Cliente]:[Avance]])+P35</f>
        <v>-3808.0600000000004</v>
      </c>
    </row>
    <row r="37" spans="2:16" s="12" customFormat="1" x14ac:dyDescent="0.25">
      <c r="B37" s="47">
        <v>45013</v>
      </c>
      <c r="C37" s="27"/>
      <c r="D37" s="27"/>
      <c r="E37" s="27"/>
      <c r="F37" s="27" t="s">
        <v>129</v>
      </c>
      <c r="G37" s="27" t="s">
        <v>132</v>
      </c>
      <c r="H37" s="1">
        <v>0</v>
      </c>
      <c r="I37" s="1">
        <v>0</v>
      </c>
      <c r="J37" s="1"/>
      <c r="K37" s="1">
        <v>0</v>
      </c>
      <c r="L37" s="1">
        <v>0</v>
      </c>
      <c r="M37" s="1">
        <v>0</v>
      </c>
      <c r="N37" s="28">
        <v>-500</v>
      </c>
      <c r="O37" s="28"/>
      <c r="P37" s="29">
        <f>SUM(Table136[[#This Row],[Valor de la Factura del Cliente]:[Avance]])+P36</f>
        <v>-4308.0600000000004</v>
      </c>
    </row>
    <row r="38" spans="2:16" s="12" customFormat="1" ht="36" x14ac:dyDescent="0.25">
      <c r="B38" s="47">
        <v>45082</v>
      </c>
      <c r="C38" s="27"/>
      <c r="D38" s="27"/>
      <c r="E38" s="27"/>
      <c r="F38" s="27" t="s">
        <v>129</v>
      </c>
      <c r="G38" s="27" t="s">
        <v>144</v>
      </c>
      <c r="H38" s="1">
        <v>0</v>
      </c>
      <c r="I38" s="1">
        <v>0</v>
      </c>
      <c r="J38" s="1"/>
      <c r="K38" s="1">
        <v>0</v>
      </c>
      <c r="L38" s="1">
        <v>0</v>
      </c>
      <c r="M38" s="1">
        <v>0</v>
      </c>
      <c r="N38" s="28">
        <v>-34.950000000000003</v>
      </c>
      <c r="O38" s="28"/>
      <c r="P38" s="29">
        <f>SUM(Table136[[#This Row],[Valor de la Factura del Cliente]:[Avance]])+P37</f>
        <v>-4343.01</v>
      </c>
    </row>
    <row r="39" spans="2:16" s="12" customFormat="1" x14ac:dyDescent="0.25">
      <c r="B39" s="47">
        <v>45150</v>
      </c>
      <c r="C39" s="27"/>
      <c r="D39" s="27"/>
      <c r="E39" s="27"/>
      <c r="F39" s="27" t="s">
        <v>129</v>
      </c>
      <c r="G39" s="27" t="s">
        <v>145</v>
      </c>
      <c r="H39" s="1">
        <v>0</v>
      </c>
      <c r="I39" s="1">
        <v>0</v>
      </c>
      <c r="J39" s="1"/>
      <c r="K39" s="1">
        <v>0</v>
      </c>
      <c r="L39" s="1">
        <v>0</v>
      </c>
      <c r="M39" s="1">
        <v>0</v>
      </c>
      <c r="N39" s="28">
        <v>-446.19</v>
      </c>
      <c r="O39" s="28"/>
      <c r="P39" s="29">
        <f>SUM(Table136[[#This Row],[Valor de la Factura del Cliente]:[Avance]])+P38</f>
        <v>-4789.2</v>
      </c>
    </row>
    <row r="40" spans="2:16" s="12" customFormat="1" x14ac:dyDescent="0.25">
      <c r="B40" s="47">
        <v>45219</v>
      </c>
      <c r="C40" s="27"/>
      <c r="D40" s="27"/>
      <c r="E40" s="27"/>
      <c r="F40" s="27" t="s">
        <v>130</v>
      </c>
      <c r="G40" s="27" t="s">
        <v>146</v>
      </c>
      <c r="H40" s="1">
        <v>0</v>
      </c>
      <c r="I40" s="1">
        <v>0</v>
      </c>
      <c r="J40" s="1"/>
      <c r="K40" s="1">
        <v>0</v>
      </c>
      <c r="L40" s="1">
        <v>0</v>
      </c>
      <c r="M40" s="1">
        <v>0</v>
      </c>
      <c r="N40" s="28">
        <v>-500</v>
      </c>
      <c r="O40" s="28"/>
      <c r="P40" s="29">
        <f>SUM(Table136[[#This Row],[Valor de la Factura del Cliente]:[Avance]])+P39</f>
        <v>-5289.2</v>
      </c>
    </row>
    <row r="41" spans="2:16" s="12" customFormat="1" x14ac:dyDescent="0.25">
      <c r="B41" s="47">
        <v>45242</v>
      </c>
      <c r="C41" s="27"/>
      <c r="D41" s="27"/>
      <c r="E41" s="27"/>
      <c r="F41" s="27" t="s">
        <v>129</v>
      </c>
      <c r="G41" s="27" t="s">
        <v>147</v>
      </c>
      <c r="H41" s="1">
        <v>0</v>
      </c>
      <c r="I41" s="1">
        <v>0</v>
      </c>
      <c r="J41" s="1"/>
      <c r="K41" s="1">
        <v>0</v>
      </c>
      <c r="L41" s="1">
        <v>0</v>
      </c>
      <c r="M41" s="1">
        <v>0</v>
      </c>
      <c r="N41" s="28">
        <v>-1100</v>
      </c>
      <c r="O41" s="28"/>
      <c r="P41" s="29">
        <f>SUM(Table136[[#This Row],[Valor de la Factura del Cliente]:[Avance]])+P40</f>
        <v>-6389.2</v>
      </c>
    </row>
    <row r="42" spans="2:16" s="12" customFormat="1" x14ac:dyDescent="0.25">
      <c r="B42" s="47">
        <v>45405</v>
      </c>
      <c r="C42" s="27"/>
      <c r="D42" s="27"/>
      <c r="E42" s="27"/>
      <c r="F42" s="27" t="s">
        <v>131</v>
      </c>
      <c r="G42" s="27" t="s">
        <v>148</v>
      </c>
      <c r="H42" s="1">
        <v>0</v>
      </c>
      <c r="I42" s="1">
        <v>0</v>
      </c>
      <c r="J42" s="1"/>
      <c r="K42" s="1">
        <v>0</v>
      </c>
      <c r="L42" s="1">
        <v>0</v>
      </c>
      <c r="M42" s="1">
        <v>0</v>
      </c>
      <c r="N42" s="28">
        <v>-179.96</v>
      </c>
      <c r="O42" s="28"/>
      <c r="P42" s="29">
        <f>SUM(Table136[[#This Row],[Valor de la Factura del Cliente]:[Avance]])+P41</f>
        <v>-6569.16</v>
      </c>
    </row>
    <row r="43" spans="2:16" s="12" customFormat="1" ht="22.5" customHeight="1" thickBot="1" x14ac:dyDescent="0.3">
      <c r="B43" s="47">
        <v>45406</v>
      </c>
      <c r="C43" s="27"/>
      <c r="D43" s="27"/>
      <c r="E43" s="27"/>
      <c r="F43" s="27" t="s">
        <v>131</v>
      </c>
      <c r="G43" s="43" t="s">
        <v>149</v>
      </c>
      <c r="H43" s="1">
        <v>0</v>
      </c>
      <c r="I43" s="1">
        <v>0</v>
      </c>
      <c r="J43" s="1"/>
      <c r="K43" s="1">
        <v>0</v>
      </c>
      <c r="L43" s="1">
        <v>0</v>
      </c>
      <c r="M43" s="1">
        <v>0</v>
      </c>
      <c r="N43" s="28">
        <v>-510</v>
      </c>
      <c r="O43" s="28"/>
      <c r="P43" s="29">
        <f>SUM(Table136[[#This Row],[Valor de la Factura del Cliente]:[Avance]])+P42</f>
        <v>-7079.16</v>
      </c>
    </row>
    <row r="44" spans="2:16" ht="18.75" thickBot="1" x14ac:dyDescent="0.5">
      <c r="B44" s="22"/>
      <c r="C44" s="23"/>
      <c r="D44" s="23"/>
      <c r="E44" s="23"/>
      <c r="F44" s="23"/>
      <c r="G44" s="34" t="s">
        <v>356</v>
      </c>
      <c r="H44" s="62">
        <f>SUBTOTAL(109,Table136[Valor de la Factura del Cliente])</f>
        <v>0</v>
      </c>
      <c r="I44" s="62">
        <f>SUBTOTAL(109,Table136[Cargos Bancarios])</f>
        <v>0</v>
      </c>
      <c r="J44" s="62"/>
      <c r="K44" s="62">
        <f>SUBTOTAL(109,Table136[20% Comisión])</f>
        <v>0</v>
      </c>
      <c r="L44" s="62">
        <f>SUBTOTAL(109,Table136[5% Legal])</f>
        <v>0</v>
      </c>
      <c r="M44" s="62">
        <f>SUBTOTAL(109,Table136[Retención de Impuestos])</f>
        <v>0</v>
      </c>
      <c r="N44" s="35">
        <f>SUBTOTAL(109,Table136[Pagado por MVPX])</f>
        <v>-7079.16</v>
      </c>
      <c r="O44" s="35">
        <f>SUBTOTAL(109,Table136[Avance])</f>
        <v>0</v>
      </c>
      <c r="P44" s="36">
        <f>SUM(Table136[[#Totals],[Valor de la Factura del Cliente]:[Avance]])</f>
        <v>-7079.16</v>
      </c>
    </row>
  </sheetData>
  <mergeCells count="1">
    <mergeCell ref="B11:P11"/>
  </mergeCells>
  <hyperlinks>
    <hyperlink ref="O2" r:id="rId1" xr:uid="{EB376149-1E3C-47BD-8DE6-454CD6AA7579}"/>
  </hyperlinks>
  <printOptions horizontalCentered="1" verticalCentered="1"/>
  <pageMargins left="0.25" right="0.25" top="0.75" bottom="0.75" header="0.3" footer="0.3"/>
  <pageSetup scale="52" fitToHeight="0" orientation="landscape" r:id="rId2"/>
  <headerFooter>
    <oddFooter>&amp;LPublisher: Most Valuable Player X (BMI)
IPI: 01031373209&amp;CPage &amp;P of &amp;N</oddFooter>
  </headerFooter>
  <drawing r:id="rId3"/>
  <tableParts count="1"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2220-F20E-4631-925B-258D33E8C8E9}">
  <sheetPr>
    <pageSetUpPr fitToPage="1"/>
  </sheetPr>
  <dimension ref="B1:P81"/>
  <sheetViews>
    <sheetView showGridLines="0" view="pageLayout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8" style="8" bestFit="1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8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8" t="str">
        <f>+'Base de datos'!E8</f>
        <v>Dayan Giler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MIN(Table13478[Fecha])</f>
        <v>44799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MAX(Table13478[Fecha])</f>
        <v>45887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>
        <v>45208</v>
      </c>
      <c r="C9" s="24"/>
      <c r="D9" s="24"/>
      <c r="E9" s="24"/>
      <c r="F9" s="24" t="s">
        <v>211</v>
      </c>
      <c r="G9" s="24" t="s">
        <v>165</v>
      </c>
      <c r="H9" s="25">
        <v>31.83</v>
      </c>
      <c r="I9" s="25">
        <v>0</v>
      </c>
      <c r="J9" s="25"/>
      <c r="K9" s="25">
        <f>Table13478[[#This Row],[Valor de la Factura del Cliente]]*0.2</f>
        <v>6.3659999999999997</v>
      </c>
      <c r="L9" s="25">
        <f>+Table13478[[#This Row],[Valor de la Factura del Cliente]]*0.05</f>
        <v>1.5914999999999999</v>
      </c>
      <c r="M9" s="25">
        <v>0</v>
      </c>
      <c r="N9" s="25">
        <v>0</v>
      </c>
      <c r="O9" s="25">
        <v>0</v>
      </c>
      <c r="P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</f>
        <v>23.872499999999999</v>
      </c>
    </row>
    <row r="10" spans="2:16" s="12" customFormat="1" x14ac:dyDescent="0.25">
      <c r="B10" s="47">
        <v>45208</v>
      </c>
      <c r="C10" s="27"/>
      <c r="D10" s="27"/>
      <c r="E10" s="27"/>
      <c r="F10" s="27" t="s">
        <v>212</v>
      </c>
      <c r="G10" s="27" t="s">
        <v>166</v>
      </c>
      <c r="H10" s="28">
        <v>237.39999999999998</v>
      </c>
      <c r="I10" s="28">
        <v>0</v>
      </c>
      <c r="J10" s="25"/>
      <c r="K10" s="25">
        <f>Table13478[[#This Row],[Valor de la Factura del Cliente]]*0.2</f>
        <v>47.48</v>
      </c>
      <c r="L10" s="25">
        <f>+Table13478[[#This Row],[Valor de la Factura del Cliente]]*0.05</f>
        <v>11.87</v>
      </c>
      <c r="M10" s="25">
        <v>0</v>
      </c>
      <c r="N10" s="28">
        <v>0</v>
      </c>
      <c r="O10" s="25">
        <v>0</v>
      </c>
      <c r="P1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Row],[Avance]]+P9</f>
        <v>201.92249999999999</v>
      </c>
    </row>
    <row r="11" spans="2:16" s="12" customFormat="1" ht="36" x14ac:dyDescent="0.25">
      <c r="B11" s="47">
        <v>44799</v>
      </c>
      <c r="C11" s="27"/>
      <c r="D11" s="27"/>
      <c r="E11" s="27"/>
      <c r="F11" s="27" t="s">
        <v>151</v>
      </c>
      <c r="G11" s="27" t="s">
        <v>167</v>
      </c>
      <c r="H11" s="28">
        <v>0</v>
      </c>
      <c r="I11" s="28">
        <v>0</v>
      </c>
      <c r="J11" s="25"/>
      <c r="K11" s="25">
        <f>Table13478[[#This Row],[Valor de la Factura del Cliente]]*0.2</f>
        <v>0</v>
      </c>
      <c r="L11" s="25">
        <f>+Table13478[[#This Row],[Valor de la Factura del Cliente]]*0.05</f>
        <v>0</v>
      </c>
      <c r="M11" s="25">
        <v>0</v>
      </c>
      <c r="N11" s="28">
        <v>372.99</v>
      </c>
      <c r="O11" s="25">
        <v>0</v>
      </c>
      <c r="P11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Row],[Avance]]+P10</f>
        <v>-171.06750000000002</v>
      </c>
    </row>
    <row r="12" spans="2:16" s="12" customFormat="1" ht="36" x14ac:dyDescent="0.25">
      <c r="B12" s="47">
        <v>44830</v>
      </c>
      <c r="C12" s="27"/>
      <c r="D12" s="27"/>
      <c r="E12" s="27"/>
      <c r="F12" s="27" t="s">
        <v>151</v>
      </c>
      <c r="G12" s="27" t="s">
        <v>167</v>
      </c>
      <c r="H12" s="28">
        <v>0</v>
      </c>
      <c r="I12" s="28">
        <v>0</v>
      </c>
      <c r="J12" s="25"/>
      <c r="K12" s="25">
        <f>Table13478[[#This Row],[Valor de la Factura del Cliente]]*0.2</f>
        <v>0</v>
      </c>
      <c r="L12" s="25">
        <f>+Table13478[[#This Row],[Valor de la Factura del Cliente]]*0.05</f>
        <v>0</v>
      </c>
      <c r="M12" s="25">
        <v>0</v>
      </c>
      <c r="N12" s="28">
        <v>360.99</v>
      </c>
      <c r="O12" s="25">
        <v>0</v>
      </c>
      <c r="P12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Row],[Avance]]+P11</f>
        <v>-532.0575</v>
      </c>
    </row>
    <row r="13" spans="2:16" s="12" customFormat="1" ht="36" x14ac:dyDescent="0.25">
      <c r="B13" s="47">
        <v>44845</v>
      </c>
      <c r="C13" s="27"/>
      <c r="D13" s="27"/>
      <c r="E13" s="27"/>
      <c r="F13" s="27" t="s">
        <v>151</v>
      </c>
      <c r="G13" s="27" t="s">
        <v>167</v>
      </c>
      <c r="H13" s="28">
        <v>0</v>
      </c>
      <c r="I13" s="28">
        <v>0</v>
      </c>
      <c r="J13" s="25"/>
      <c r="K13" s="25">
        <f>Table13478[[#This Row],[Valor de la Factura del Cliente]]*0.2</f>
        <v>0</v>
      </c>
      <c r="L13" s="25">
        <f>+Table13478[[#This Row],[Valor de la Factura del Cliente]]*0.05</f>
        <v>0</v>
      </c>
      <c r="M13" s="25">
        <v>0</v>
      </c>
      <c r="N13" s="28">
        <v>360.99</v>
      </c>
      <c r="O13" s="25">
        <v>0</v>
      </c>
      <c r="P13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Row],[Avance]]+P12</f>
        <v>-893.04750000000001</v>
      </c>
    </row>
    <row r="14" spans="2:16" s="12" customFormat="1" ht="36" x14ac:dyDescent="0.25">
      <c r="B14" s="47">
        <v>44872</v>
      </c>
      <c r="C14" s="27"/>
      <c r="D14" s="27"/>
      <c r="E14" s="27"/>
      <c r="F14" s="27" t="s">
        <v>151</v>
      </c>
      <c r="G14" s="27" t="s">
        <v>168</v>
      </c>
      <c r="H14" s="28">
        <v>0</v>
      </c>
      <c r="I14" s="28">
        <v>0</v>
      </c>
      <c r="J14" s="25"/>
      <c r="K14" s="25">
        <f>Table13478[[#This Row],[Valor de la Factura del Cliente]]*0.2</f>
        <v>0</v>
      </c>
      <c r="L14" s="25">
        <f>+Table13478[[#This Row],[Valor de la Factura del Cliente]]*0.05</f>
        <v>0</v>
      </c>
      <c r="M14" s="25">
        <v>0</v>
      </c>
      <c r="N14" s="28">
        <v>1620</v>
      </c>
      <c r="O14" s="25">
        <v>0</v>
      </c>
      <c r="P14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Row],[Avance]]+P13</f>
        <v>-2513.0475000000001</v>
      </c>
    </row>
    <row r="15" spans="2:16" s="12" customFormat="1" ht="36" x14ac:dyDescent="0.25">
      <c r="B15" s="47">
        <v>44875</v>
      </c>
      <c r="C15" s="27"/>
      <c r="D15" s="27"/>
      <c r="E15" s="27"/>
      <c r="F15" s="27" t="s">
        <v>151</v>
      </c>
      <c r="G15" s="27" t="s">
        <v>169</v>
      </c>
      <c r="H15" s="28">
        <v>0</v>
      </c>
      <c r="I15" s="28">
        <v>0</v>
      </c>
      <c r="J15" s="25"/>
      <c r="K15" s="25">
        <f>Table13478[[#This Row],[Valor de la Factura del Cliente]]*0.2</f>
        <v>0</v>
      </c>
      <c r="L15" s="25">
        <f>+Table13478[[#This Row],[Valor de la Factura del Cliente]]*0.05</f>
        <v>0</v>
      </c>
      <c r="M15" s="25">
        <v>0</v>
      </c>
      <c r="N15" s="28">
        <v>360.99</v>
      </c>
      <c r="O15" s="25">
        <v>0</v>
      </c>
      <c r="P15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Row],[Avance]]+P14</f>
        <v>-2874.0375000000004</v>
      </c>
    </row>
    <row r="16" spans="2:16" s="12" customFormat="1" ht="36" x14ac:dyDescent="0.25">
      <c r="B16" s="47">
        <v>44890</v>
      </c>
      <c r="C16" s="27"/>
      <c r="D16" s="27"/>
      <c r="E16" s="27"/>
      <c r="F16" s="27" t="s">
        <v>151</v>
      </c>
      <c r="G16" s="27" t="s">
        <v>170</v>
      </c>
      <c r="H16" s="28">
        <v>0</v>
      </c>
      <c r="I16" s="28">
        <v>0</v>
      </c>
      <c r="J16" s="25"/>
      <c r="K16" s="25">
        <f>Table13478[[#This Row],[Valor de la Factura del Cliente]]*0.2</f>
        <v>0</v>
      </c>
      <c r="L16" s="25">
        <f>+Table13478[[#This Row],[Valor de la Factura del Cliente]]*0.05</f>
        <v>0</v>
      </c>
      <c r="M16" s="25">
        <v>0</v>
      </c>
      <c r="N16" s="28">
        <v>460.99</v>
      </c>
      <c r="O16" s="25">
        <v>0</v>
      </c>
      <c r="P16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Row],[Avance]]+P15</f>
        <v>-3335.0275000000001</v>
      </c>
    </row>
    <row r="17" spans="2:16" s="12" customFormat="1" ht="36" x14ac:dyDescent="0.25">
      <c r="B17" s="47">
        <v>44923</v>
      </c>
      <c r="C17" s="27"/>
      <c r="D17" s="27"/>
      <c r="E17" s="27"/>
      <c r="F17" s="27" t="s">
        <v>151</v>
      </c>
      <c r="G17" s="27" t="s">
        <v>170</v>
      </c>
      <c r="H17" s="28">
        <v>0</v>
      </c>
      <c r="I17" s="28">
        <v>0</v>
      </c>
      <c r="J17" s="25"/>
      <c r="K17" s="25">
        <f>Table13478[[#This Row],[Valor de la Factura del Cliente]]*0.2</f>
        <v>0</v>
      </c>
      <c r="L17" s="25">
        <f>+Table13478[[#This Row],[Valor de la Factura del Cliente]]*0.05</f>
        <v>0</v>
      </c>
      <c r="M17" s="25">
        <v>0</v>
      </c>
      <c r="N17" s="28">
        <v>460.99</v>
      </c>
      <c r="O17" s="25">
        <v>0</v>
      </c>
      <c r="P17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Row],[Avance]]+P16</f>
        <v>-3796.0174999999999</v>
      </c>
    </row>
    <row r="18" spans="2:16" s="12" customFormat="1" x14ac:dyDescent="0.25">
      <c r="B18" s="47">
        <v>44966</v>
      </c>
      <c r="C18" s="27"/>
      <c r="D18" s="27"/>
      <c r="E18" s="27"/>
      <c r="F18" s="27" t="s">
        <v>151</v>
      </c>
      <c r="G18" s="27" t="s">
        <v>171</v>
      </c>
      <c r="H18" s="28">
        <v>0</v>
      </c>
      <c r="I18" s="28">
        <v>0</v>
      </c>
      <c r="J18" s="25"/>
      <c r="K18" s="25">
        <f>Table13478[[#This Row],[Valor de la Factura del Cliente]]*0.2</f>
        <v>0</v>
      </c>
      <c r="L18" s="25">
        <f>+Table13478[[#This Row],[Valor de la Factura del Cliente]]*0.05</f>
        <v>0</v>
      </c>
      <c r="M18" s="25">
        <v>0</v>
      </c>
      <c r="N18" s="28">
        <v>69.7</v>
      </c>
      <c r="O18" s="25">
        <v>0</v>
      </c>
      <c r="P18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Row],[Avance]]+P17</f>
        <v>-3865.7174999999997</v>
      </c>
    </row>
    <row r="19" spans="2:16" s="12" customFormat="1" x14ac:dyDescent="0.25">
      <c r="B19" s="47">
        <v>44966</v>
      </c>
      <c r="C19" s="27"/>
      <c r="D19" s="27"/>
      <c r="E19" s="27"/>
      <c r="F19" s="27" t="s">
        <v>151</v>
      </c>
      <c r="G19" s="27" t="s">
        <v>172</v>
      </c>
      <c r="H19" s="28">
        <v>0</v>
      </c>
      <c r="I19" s="28">
        <v>0</v>
      </c>
      <c r="J19" s="25"/>
      <c r="K19" s="25">
        <f>Table13478[[#This Row],[Valor de la Factura del Cliente]]*0.2</f>
        <v>0</v>
      </c>
      <c r="L19" s="25">
        <f>+Table13478[[#This Row],[Valor de la Factura del Cliente]]*0.05</f>
        <v>0</v>
      </c>
      <c r="M19" s="25">
        <v>0</v>
      </c>
      <c r="N19" s="28">
        <v>69.7</v>
      </c>
      <c r="O19" s="25">
        <v>0</v>
      </c>
      <c r="P1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Row],[Avance]]+P18</f>
        <v>-3935.4174999999996</v>
      </c>
    </row>
    <row r="20" spans="2:16" s="12" customFormat="1" x14ac:dyDescent="0.25">
      <c r="B20" s="47">
        <v>44967</v>
      </c>
      <c r="C20" s="27"/>
      <c r="D20" s="27"/>
      <c r="E20" s="27"/>
      <c r="F20" s="27" t="s">
        <v>151</v>
      </c>
      <c r="G20" s="27" t="s">
        <v>173</v>
      </c>
      <c r="H20" s="28">
        <v>0</v>
      </c>
      <c r="I20" s="28">
        <v>0</v>
      </c>
      <c r="J20" s="25"/>
      <c r="K20" s="25">
        <f>Table13478[[#This Row],[Valor de la Factura del Cliente]]*0.2</f>
        <v>0</v>
      </c>
      <c r="L20" s="25">
        <f>+Table13478[[#This Row],[Valor de la Factura del Cliente]]*0.05</f>
        <v>0</v>
      </c>
      <c r="M20" s="25">
        <v>0</v>
      </c>
      <c r="N20" s="28">
        <v>62.49</v>
      </c>
      <c r="O20" s="25">
        <v>0</v>
      </c>
      <c r="P2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Row],[Avance]]+P19</f>
        <v>-3997.9074999999993</v>
      </c>
    </row>
    <row r="21" spans="2:16" s="12" customFormat="1" x14ac:dyDescent="0.25">
      <c r="B21" s="47">
        <v>44967</v>
      </c>
      <c r="C21" s="27"/>
      <c r="D21" s="27"/>
      <c r="E21" s="27"/>
      <c r="F21" s="27" t="s">
        <v>151</v>
      </c>
      <c r="G21" s="27" t="s">
        <v>174</v>
      </c>
      <c r="H21" s="28">
        <v>0</v>
      </c>
      <c r="I21" s="28">
        <v>0</v>
      </c>
      <c r="J21" s="25"/>
      <c r="K21" s="25">
        <f>Table13478[[#This Row],[Valor de la Factura del Cliente]]*0.2</f>
        <v>0</v>
      </c>
      <c r="L21" s="25">
        <f>+Table13478[[#This Row],[Valor de la Factura del Cliente]]*0.05</f>
        <v>0</v>
      </c>
      <c r="M21" s="25">
        <v>0</v>
      </c>
      <c r="N21" s="28">
        <v>62.49</v>
      </c>
      <c r="O21" s="25">
        <v>0</v>
      </c>
      <c r="P21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Row],[Avance]]+P20</f>
        <v>-4060.3974999999991</v>
      </c>
    </row>
    <row r="22" spans="2:16" s="12" customFormat="1" x14ac:dyDescent="0.25">
      <c r="B22" s="47">
        <v>44952</v>
      </c>
      <c r="C22" s="27"/>
      <c r="D22" s="27"/>
      <c r="E22" s="27"/>
      <c r="F22" s="27" t="s">
        <v>151</v>
      </c>
      <c r="G22" s="27" t="s">
        <v>175</v>
      </c>
      <c r="H22" s="28">
        <v>0</v>
      </c>
      <c r="I22" s="28">
        <v>0</v>
      </c>
      <c r="J22" s="25"/>
      <c r="K22" s="25">
        <f>Table13478[[#This Row],[Valor de la Factura del Cliente]]*0.2</f>
        <v>0</v>
      </c>
      <c r="L22" s="25">
        <f>+Table13478[[#This Row],[Valor de la Factura del Cliente]]*0.05</f>
        <v>0</v>
      </c>
      <c r="M22" s="25">
        <v>0</v>
      </c>
      <c r="N22" s="28">
        <v>670.99</v>
      </c>
      <c r="O22" s="25">
        <v>0</v>
      </c>
      <c r="P22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Row],[Avance]]+P21</f>
        <v>-4731.3874999999989</v>
      </c>
    </row>
    <row r="23" spans="2:16" s="12" customFormat="1" x14ac:dyDescent="0.25">
      <c r="B23" s="47">
        <v>44957</v>
      </c>
      <c r="C23" s="27"/>
      <c r="D23" s="27"/>
      <c r="E23" s="27"/>
      <c r="F23" s="27" t="s">
        <v>151</v>
      </c>
      <c r="G23" s="27" t="s">
        <v>176</v>
      </c>
      <c r="H23" s="28">
        <v>0</v>
      </c>
      <c r="I23" s="28">
        <v>0</v>
      </c>
      <c r="J23" s="25"/>
      <c r="K23" s="25">
        <f>Table13478[[#This Row],[Valor de la Factura del Cliente]]*0.2</f>
        <v>0</v>
      </c>
      <c r="L23" s="25">
        <f>+Table13478[[#This Row],[Valor de la Factura del Cliente]]*0.05</f>
        <v>0</v>
      </c>
      <c r="M23" s="25">
        <v>0</v>
      </c>
      <c r="N23" s="28">
        <v>124.98</v>
      </c>
      <c r="O23" s="25">
        <v>0</v>
      </c>
      <c r="P23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Row],[Avance]]+P22</f>
        <v>-4856.3674999999985</v>
      </c>
    </row>
    <row r="24" spans="2:16" s="12" customFormat="1" ht="36" x14ac:dyDescent="0.25">
      <c r="B24" s="47">
        <v>44963</v>
      </c>
      <c r="C24" s="27"/>
      <c r="D24" s="27"/>
      <c r="E24" s="27"/>
      <c r="F24" s="27" t="s">
        <v>151</v>
      </c>
      <c r="G24" s="27" t="s">
        <v>177</v>
      </c>
      <c r="H24" s="28">
        <v>0</v>
      </c>
      <c r="I24" s="28">
        <v>0</v>
      </c>
      <c r="J24" s="25"/>
      <c r="K24" s="25">
        <f>Table13478[[#This Row],[Valor de la Factura del Cliente]]*0.2</f>
        <v>0</v>
      </c>
      <c r="L24" s="25">
        <f>+Table13478[[#This Row],[Valor de la Factura del Cliente]]*0.05</f>
        <v>0</v>
      </c>
      <c r="M24" s="25">
        <v>0</v>
      </c>
      <c r="N24" s="28">
        <v>190.99</v>
      </c>
      <c r="O24" s="25">
        <v>0</v>
      </c>
      <c r="P24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Row],[Avance]]+P23</f>
        <v>-5047.3574999999983</v>
      </c>
    </row>
    <row r="25" spans="2:16" s="12" customFormat="1" x14ac:dyDescent="0.25">
      <c r="B25" s="47">
        <v>44987</v>
      </c>
      <c r="C25" s="27"/>
      <c r="D25" s="27"/>
      <c r="E25" s="27"/>
      <c r="F25" s="27" t="s">
        <v>151</v>
      </c>
      <c r="G25" s="27" t="s">
        <v>178</v>
      </c>
      <c r="H25" s="28">
        <v>0</v>
      </c>
      <c r="I25" s="28">
        <v>0</v>
      </c>
      <c r="J25" s="25"/>
      <c r="K25" s="25">
        <f>Table13478[[#This Row],[Valor de la Factura del Cliente]]*0.2</f>
        <v>0</v>
      </c>
      <c r="L25" s="25">
        <f>+Table13478[[#This Row],[Valor de la Factura del Cliente]]*0.05</f>
        <v>0</v>
      </c>
      <c r="M25" s="25">
        <v>0</v>
      </c>
      <c r="N25" s="28">
        <v>1035.99</v>
      </c>
      <c r="O25" s="25">
        <v>0</v>
      </c>
      <c r="P25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Row],[Avance]]+P24</f>
        <v>-6083.347499999998</v>
      </c>
    </row>
    <row r="26" spans="2:16" s="12" customFormat="1" ht="36" x14ac:dyDescent="0.25">
      <c r="B26" s="47">
        <v>44984</v>
      </c>
      <c r="C26" s="27"/>
      <c r="D26" s="27"/>
      <c r="E26" s="27"/>
      <c r="F26" s="27" t="s">
        <v>151</v>
      </c>
      <c r="G26" s="27" t="s">
        <v>170</v>
      </c>
      <c r="H26" s="28">
        <v>0</v>
      </c>
      <c r="I26" s="28">
        <v>0</v>
      </c>
      <c r="J26" s="25"/>
      <c r="K26" s="25">
        <f>Table13478[[#This Row],[Valor de la Factura del Cliente]]*0.2</f>
        <v>0</v>
      </c>
      <c r="L26" s="25">
        <f>+Table13478[[#This Row],[Valor de la Factura del Cliente]]*0.05</f>
        <v>0</v>
      </c>
      <c r="M26" s="25">
        <v>0</v>
      </c>
      <c r="N26" s="28">
        <v>460.99</v>
      </c>
      <c r="O26" s="25">
        <v>0</v>
      </c>
      <c r="P26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Row],[Avance]]+P25</f>
        <v>-6544.3374999999978</v>
      </c>
    </row>
    <row r="27" spans="2:16" s="12" customFormat="1" x14ac:dyDescent="0.25">
      <c r="B27" s="47">
        <v>44984</v>
      </c>
      <c r="C27" s="27"/>
      <c r="D27" s="27"/>
      <c r="E27" s="27"/>
      <c r="F27" s="27" t="s">
        <v>151</v>
      </c>
      <c r="G27" s="27" t="s">
        <v>179</v>
      </c>
      <c r="H27" s="28">
        <v>0</v>
      </c>
      <c r="I27" s="28">
        <v>0</v>
      </c>
      <c r="J27" s="25"/>
      <c r="K27" s="25">
        <f>Table13478[[#This Row],[Valor de la Factura del Cliente]]*0.2</f>
        <v>0</v>
      </c>
      <c r="L27" s="25">
        <f>+Table13478[[#This Row],[Valor de la Factura del Cliente]]*0.05</f>
        <v>0</v>
      </c>
      <c r="M27" s="25">
        <v>0</v>
      </c>
      <c r="N27" s="28">
        <v>160</v>
      </c>
      <c r="O27" s="25">
        <v>0</v>
      </c>
      <c r="P27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Row],[Avance]]+P26</f>
        <v>-6704.3374999999978</v>
      </c>
    </row>
    <row r="28" spans="2:16" s="12" customFormat="1" x14ac:dyDescent="0.25">
      <c r="B28" s="47">
        <v>44995</v>
      </c>
      <c r="C28" s="27"/>
      <c r="D28" s="27"/>
      <c r="E28" s="27"/>
      <c r="F28" s="27" t="s">
        <v>151</v>
      </c>
      <c r="G28" s="27" t="s">
        <v>180</v>
      </c>
      <c r="H28" s="28">
        <v>0</v>
      </c>
      <c r="I28" s="28">
        <v>0</v>
      </c>
      <c r="J28" s="25"/>
      <c r="K28" s="25">
        <f>Table13478[[#This Row],[Valor de la Factura del Cliente]]*0.2</f>
        <v>0</v>
      </c>
      <c r="L28" s="25">
        <f>+Table13478[[#This Row],[Valor de la Factura del Cliente]]*0.05</f>
        <v>0</v>
      </c>
      <c r="M28" s="25">
        <v>0</v>
      </c>
      <c r="N28" s="28">
        <v>400</v>
      </c>
      <c r="O28" s="25">
        <v>0</v>
      </c>
      <c r="P28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Row],[Avance]]+P27</f>
        <v>-7104.3374999999978</v>
      </c>
    </row>
    <row r="29" spans="2:16" s="12" customFormat="1" x14ac:dyDescent="0.25">
      <c r="B29" s="47">
        <v>45014</v>
      </c>
      <c r="C29" s="27"/>
      <c r="D29" s="27"/>
      <c r="E29" s="27"/>
      <c r="F29" s="27" t="s">
        <v>151</v>
      </c>
      <c r="G29" s="27" t="s">
        <v>178</v>
      </c>
      <c r="H29" s="28">
        <v>0</v>
      </c>
      <c r="I29" s="28">
        <v>0</v>
      </c>
      <c r="J29" s="25"/>
      <c r="K29" s="25">
        <f>Table13478[[#This Row],[Valor de la Factura del Cliente]]*0.2</f>
        <v>0</v>
      </c>
      <c r="L29" s="25">
        <f>+Table13478[[#This Row],[Valor de la Factura del Cliente]]*0.05</f>
        <v>0</v>
      </c>
      <c r="M29" s="25">
        <v>0</v>
      </c>
      <c r="N29" s="28">
        <v>865.99</v>
      </c>
      <c r="O29" s="25">
        <v>0</v>
      </c>
      <c r="P2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Row],[Avance]]+P28</f>
        <v>-7970.3274999999976</v>
      </c>
    </row>
    <row r="30" spans="2:16" s="12" customFormat="1" ht="36" x14ac:dyDescent="0.25">
      <c r="B30" s="47">
        <v>45027</v>
      </c>
      <c r="C30" s="27"/>
      <c r="D30" s="27"/>
      <c r="E30" s="27"/>
      <c r="F30" s="27" t="s">
        <v>151</v>
      </c>
      <c r="G30" s="27" t="s">
        <v>170</v>
      </c>
      <c r="H30" s="28">
        <v>0</v>
      </c>
      <c r="I30" s="28">
        <v>0</v>
      </c>
      <c r="J30" s="25"/>
      <c r="K30" s="25">
        <f>Table13478[[#This Row],[Valor de la Factura del Cliente]]*0.2</f>
        <v>0</v>
      </c>
      <c r="L30" s="25">
        <f>+Table13478[[#This Row],[Valor de la Factura del Cliente]]*0.05</f>
        <v>0</v>
      </c>
      <c r="M30" s="25">
        <v>0</v>
      </c>
      <c r="N30" s="28">
        <v>825</v>
      </c>
      <c r="O30" s="25">
        <v>0</v>
      </c>
      <c r="P3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Row],[Avance]]+P29</f>
        <v>-8795.3274999999976</v>
      </c>
    </row>
    <row r="31" spans="2:16" s="12" customFormat="1" x14ac:dyDescent="0.25">
      <c r="B31" s="47">
        <v>45040</v>
      </c>
      <c r="C31" s="27"/>
      <c r="D31" s="27"/>
      <c r="E31" s="27"/>
      <c r="F31" s="27" t="s">
        <v>152</v>
      </c>
      <c r="G31" s="27" t="s">
        <v>181</v>
      </c>
      <c r="H31" s="28">
        <v>0</v>
      </c>
      <c r="I31" s="28">
        <v>0</v>
      </c>
      <c r="J31" s="25"/>
      <c r="K31" s="25">
        <f>Table13478[[#This Row],[Valor de la Factura del Cliente]]*0.2</f>
        <v>0</v>
      </c>
      <c r="L31" s="25">
        <f>+Table13478[[#This Row],[Valor de la Factura del Cliente]]*0.05</f>
        <v>0</v>
      </c>
      <c r="M31" s="25">
        <v>0</v>
      </c>
      <c r="N31" s="28">
        <v>500</v>
      </c>
      <c r="O31" s="25">
        <v>0</v>
      </c>
      <c r="P31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Row],[Avance]]+P30</f>
        <v>-9295.3274999999976</v>
      </c>
    </row>
    <row r="32" spans="2:16" s="12" customFormat="1" x14ac:dyDescent="0.25">
      <c r="B32" s="47">
        <v>45054</v>
      </c>
      <c r="C32" s="27"/>
      <c r="D32" s="27"/>
      <c r="E32" s="27"/>
      <c r="F32" s="27" t="s">
        <v>151</v>
      </c>
      <c r="G32" s="27" t="s">
        <v>182</v>
      </c>
      <c r="H32" s="28">
        <v>0</v>
      </c>
      <c r="I32" s="28">
        <v>0</v>
      </c>
      <c r="J32" s="25"/>
      <c r="K32" s="25">
        <f>Table13478[[#This Row],[Valor de la Factura del Cliente]]*0.2</f>
        <v>0</v>
      </c>
      <c r="L32" s="25">
        <f>+Table13478[[#This Row],[Valor de la Factura del Cliente]]*0.05</f>
        <v>0</v>
      </c>
      <c r="M32" s="25">
        <v>0</v>
      </c>
      <c r="N32" s="28">
        <v>595.99</v>
      </c>
      <c r="O32" s="25">
        <v>0</v>
      </c>
      <c r="P32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Row],[Avance]]+P31</f>
        <v>-9891.3174999999974</v>
      </c>
    </row>
    <row r="33" spans="2:16" s="12" customFormat="1" ht="36" x14ac:dyDescent="0.25">
      <c r="B33" s="47">
        <v>45071</v>
      </c>
      <c r="C33" s="27"/>
      <c r="D33" s="27"/>
      <c r="E33" s="27"/>
      <c r="F33" s="27" t="s">
        <v>151</v>
      </c>
      <c r="G33" s="27" t="s">
        <v>183</v>
      </c>
      <c r="H33" s="28">
        <v>0</v>
      </c>
      <c r="I33" s="28">
        <v>0</v>
      </c>
      <c r="J33" s="25"/>
      <c r="K33" s="25">
        <f>Table13478[[#This Row],[Valor de la Factura del Cliente]]*0.2</f>
        <v>0</v>
      </c>
      <c r="L33" s="25">
        <f>+Table13478[[#This Row],[Valor de la Factura del Cliente]]*0.05</f>
        <v>0</v>
      </c>
      <c r="M33" s="25">
        <v>0</v>
      </c>
      <c r="N33" s="28">
        <v>1004.99</v>
      </c>
      <c r="O33" s="25">
        <v>0</v>
      </c>
      <c r="P33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Row],[Avance]]+P32</f>
        <v>-10896.307499999997</v>
      </c>
    </row>
    <row r="34" spans="2:16" s="12" customFormat="1" x14ac:dyDescent="0.25">
      <c r="B34" s="47">
        <v>45099</v>
      </c>
      <c r="C34" s="27"/>
      <c r="D34" s="27"/>
      <c r="E34" s="27"/>
      <c r="F34" s="27" t="s">
        <v>153</v>
      </c>
      <c r="G34" s="27" t="s">
        <v>184</v>
      </c>
      <c r="H34" s="28">
        <v>0</v>
      </c>
      <c r="I34" s="28">
        <v>0</v>
      </c>
      <c r="J34" s="25"/>
      <c r="K34" s="25">
        <f>Table13478[[#This Row],[Valor de la Factura del Cliente]]*0.2</f>
        <v>0</v>
      </c>
      <c r="L34" s="25">
        <f>+Table13478[[#This Row],[Valor de la Factura del Cliente]]*0.05</f>
        <v>0</v>
      </c>
      <c r="M34" s="25">
        <v>0</v>
      </c>
      <c r="N34" s="28">
        <v>500</v>
      </c>
      <c r="O34" s="25">
        <v>0</v>
      </c>
      <c r="P34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Row],[Avance]]+P33</f>
        <v>-11396.307499999997</v>
      </c>
    </row>
    <row r="35" spans="2:16" s="12" customFormat="1" ht="36" x14ac:dyDescent="0.25">
      <c r="B35" s="47">
        <v>45100</v>
      </c>
      <c r="C35" s="27"/>
      <c r="D35" s="27"/>
      <c r="E35" s="27"/>
      <c r="F35" s="27" t="s">
        <v>151</v>
      </c>
      <c r="G35" s="27" t="s">
        <v>185</v>
      </c>
      <c r="H35" s="28">
        <v>0</v>
      </c>
      <c r="I35" s="28">
        <v>0</v>
      </c>
      <c r="J35" s="25"/>
      <c r="K35" s="25">
        <f>Table13478[[#This Row],[Valor de la Factura del Cliente]]*0.2</f>
        <v>0</v>
      </c>
      <c r="L35" s="25">
        <f>+Table13478[[#This Row],[Valor de la Factura del Cliente]]*0.05</f>
        <v>0</v>
      </c>
      <c r="M35" s="25">
        <v>0</v>
      </c>
      <c r="N35" s="28">
        <v>520</v>
      </c>
      <c r="O35" s="25">
        <v>0</v>
      </c>
      <c r="P35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Row],[Avance]]+P34</f>
        <v>-11916.307499999997</v>
      </c>
    </row>
    <row r="36" spans="2:16" s="12" customFormat="1" x14ac:dyDescent="0.25">
      <c r="B36" s="47">
        <v>45103</v>
      </c>
      <c r="C36" s="27"/>
      <c r="D36" s="27"/>
      <c r="E36" s="27"/>
      <c r="F36" s="27" t="s">
        <v>151</v>
      </c>
      <c r="G36" s="27" t="s">
        <v>186</v>
      </c>
      <c r="H36" s="28">
        <v>0</v>
      </c>
      <c r="I36" s="28">
        <v>0</v>
      </c>
      <c r="J36" s="25"/>
      <c r="K36" s="25">
        <f>Table13478[[#This Row],[Valor de la Factura del Cliente]]*0.2</f>
        <v>0</v>
      </c>
      <c r="L36" s="25">
        <f>+Table13478[[#This Row],[Valor de la Factura del Cliente]]*0.05</f>
        <v>0</v>
      </c>
      <c r="M36" s="25">
        <v>0</v>
      </c>
      <c r="N36" s="28">
        <v>550.99</v>
      </c>
      <c r="O36" s="25">
        <v>0</v>
      </c>
      <c r="P36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Row],[Avance]]+P35</f>
        <v>-12467.297499999997</v>
      </c>
    </row>
    <row r="37" spans="2:16" s="12" customFormat="1" x14ac:dyDescent="0.25">
      <c r="B37" s="47">
        <v>45107</v>
      </c>
      <c r="C37" s="27"/>
      <c r="D37" s="27"/>
      <c r="E37" s="27"/>
      <c r="F37" s="27" t="s">
        <v>151</v>
      </c>
      <c r="G37" s="27" t="s">
        <v>187</v>
      </c>
      <c r="H37" s="28">
        <v>0</v>
      </c>
      <c r="I37" s="28">
        <v>0</v>
      </c>
      <c r="J37" s="25"/>
      <c r="K37" s="25">
        <f>Table13478[[#This Row],[Valor de la Factura del Cliente]]*0.2</f>
        <v>0</v>
      </c>
      <c r="L37" s="25">
        <f>+Table13478[[#This Row],[Valor de la Factura del Cliente]]*0.05</f>
        <v>0</v>
      </c>
      <c r="M37" s="25">
        <v>0</v>
      </c>
      <c r="N37" s="28">
        <v>985.99</v>
      </c>
      <c r="O37" s="25">
        <v>0</v>
      </c>
      <c r="P37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Row],[Avance]]+P36</f>
        <v>-13453.287499999997</v>
      </c>
    </row>
    <row r="38" spans="2:16" s="12" customFormat="1" x14ac:dyDescent="0.25">
      <c r="B38" s="47">
        <v>45108</v>
      </c>
      <c r="C38" s="27"/>
      <c r="D38" s="27"/>
      <c r="E38" s="27"/>
      <c r="F38" s="27" t="s">
        <v>151</v>
      </c>
      <c r="G38" s="27" t="s">
        <v>188</v>
      </c>
      <c r="H38" s="28">
        <v>0</v>
      </c>
      <c r="I38" s="28">
        <v>0</v>
      </c>
      <c r="J38" s="25"/>
      <c r="K38" s="25">
        <f>Table13478[[#This Row],[Valor de la Factura del Cliente]]*0.2</f>
        <v>0</v>
      </c>
      <c r="L38" s="25">
        <f>+Table13478[[#This Row],[Valor de la Factura del Cliente]]*0.05</f>
        <v>0</v>
      </c>
      <c r="M38" s="25">
        <v>0</v>
      </c>
      <c r="N38" s="28">
        <v>1025</v>
      </c>
      <c r="O38" s="25">
        <v>0</v>
      </c>
      <c r="P38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Row],[Avance]]+P37</f>
        <v>-14478.287499999997</v>
      </c>
    </row>
    <row r="39" spans="2:16" s="12" customFormat="1" x14ac:dyDescent="0.25">
      <c r="B39" s="47">
        <v>45128</v>
      </c>
      <c r="C39" s="27"/>
      <c r="D39" s="27"/>
      <c r="E39" s="27"/>
      <c r="F39" s="27" t="s">
        <v>151</v>
      </c>
      <c r="G39" s="27" t="s">
        <v>189</v>
      </c>
      <c r="H39" s="28">
        <v>0</v>
      </c>
      <c r="I39" s="28">
        <v>0</v>
      </c>
      <c r="J39" s="25"/>
      <c r="K39" s="25">
        <f>Table13478[[#This Row],[Valor de la Factura del Cliente]]*0.2</f>
        <v>0</v>
      </c>
      <c r="L39" s="25">
        <f>+Table13478[[#This Row],[Valor de la Factura del Cliente]]*0.05</f>
        <v>0</v>
      </c>
      <c r="M39" s="25">
        <v>0</v>
      </c>
      <c r="N39" s="28">
        <v>1004.99</v>
      </c>
      <c r="O39" s="25">
        <v>0</v>
      </c>
      <c r="P3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Row],[Avance]]+P38</f>
        <v>-15483.277499999997</v>
      </c>
    </row>
    <row r="40" spans="2:16" s="12" customFormat="1" x14ac:dyDescent="0.25">
      <c r="B40" s="47">
        <v>45134</v>
      </c>
      <c r="C40" s="27"/>
      <c r="D40" s="27"/>
      <c r="E40" s="27"/>
      <c r="F40" s="27" t="s">
        <v>154</v>
      </c>
      <c r="G40" s="27" t="s">
        <v>154</v>
      </c>
      <c r="H40" s="28">
        <v>0</v>
      </c>
      <c r="I40" s="28">
        <v>0</v>
      </c>
      <c r="J40" s="25"/>
      <c r="K40" s="25">
        <f>Table13478[[#This Row],[Valor de la Factura del Cliente]]*0.2</f>
        <v>0</v>
      </c>
      <c r="L40" s="25">
        <f>+Table13478[[#This Row],[Valor de la Factura del Cliente]]*0.05</f>
        <v>0</v>
      </c>
      <c r="M40" s="25">
        <v>0</v>
      </c>
      <c r="N40" s="28">
        <v>600</v>
      </c>
      <c r="O40" s="25">
        <v>0</v>
      </c>
      <c r="P4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Row],[Avance]]+P39</f>
        <v>-16083.277499999997</v>
      </c>
    </row>
    <row r="41" spans="2:16" s="12" customFormat="1" x14ac:dyDescent="0.25">
      <c r="B41" s="47">
        <v>45139</v>
      </c>
      <c r="C41" s="27"/>
      <c r="D41" s="27"/>
      <c r="E41" s="27"/>
      <c r="F41" s="27" t="s">
        <v>151</v>
      </c>
      <c r="G41" s="27" t="s">
        <v>190</v>
      </c>
      <c r="H41" s="28">
        <v>0</v>
      </c>
      <c r="I41" s="28">
        <v>0</v>
      </c>
      <c r="J41" s="25"/>
      <c r="K41" s="25">
        <f>Table13478[[#This Row],[Valor de la Factura del Cliente]]*0.2</f>
        <v>0</v>
      </c>
      <c r="L41" s="25">
        <f>+Table13478[[#This Row],[Valor de la Factura del Cliente]]*0.05</f>
        <v>0</v>
      </c>
      <c r="M41" s="25">
        <v>0</v>
      </c>
      <c r="N41" s="28">
        <v>475</v>
      </c>
      <c r="O41" s="25">
        <v>0</v>
      </c>
      <c r="P41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Row],[Avance]]+P40</f>
        <v>-16558.277499999997</v>
      </c>
    </row>
    <row r="42" spans="2:16" s="12" customFormat="1" x14ac:dyDescent="0.25">
      <c r="B42" s="48">
        <v>45153</v>
      </c>
      <c r="C42" s="30"/>
      <c r="D42" s="30"/>
      <c r="E42" s="30"/>
      <c r="F42" s="30" t="s">
        <v>154</v>
      </c>
      <c r="G42" s="30" t="s">
        <v>154</v>
      </c>
      <c r="H42" s="31">
        <v>0</v>
      </c>
      <c r="I42" s="31">
        <v>0</v>
      </c>
      <c r="J42" s="63"/>
      <c r="K42" s="25">
        <f>Table13478[[#This Row],[Valor de la Factura del Cliente]]*0.2</f>
        <v>0</v>
      </c>
      <c r="L42" s="25">
        <f>+Table13478[[#This Row],[Valor de la Factura del Cliente]]*0.05</f>
        <v>0</v>
      </c>
      <c r="M42" s="25">
        <v>0</v>
      </c>
      <c r="N42" s="31">
        <v>600</v>
      </c>
      <c r="O42" s="25">
        <v>0</v>
      </c>
      <c r="P42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Row],[Avance]]+P41</f>
        <v>-17158.277499999997</v>
      </c>
    </row>
    <row r="43" spans="2:16" s="33" customFormat="1" ht="36" x14ac:dyDescent="0.25">
      <c r="B43" s="47">
        <v>45172</v>
      </c>
      <c r="C43" s="27"/>
      <c r="D43" s="27"/>
      <c r="E43" s="27"/>
      <c r="F43" s="27" t="s">
        <v>47</v>
      </c>
      <c r="G43" s="27" t="s">
        <v>191</v>
      </c>
      <c r="H43" s="28">
        <v>0</v>
      </c>
      <c r="I43" s="28">
        <v>4.99</v>
      </c>
      <c r="J43" s="25"/>
      <c r="K43" s="25">
        <f>Table13478[[#This Row],[Valor de la Factura del Cliente]]*0.2</f>
        <v>0</v>
      </c>
      <c r="L43" s="25">
        <f>+Table13478[[#This Row],[Valor de la Factura del Cliente]]*0.05</f>
        <v>0</v>
      </c>
      <c r="M43" s="25">
        <v>0</v>
      </c>
      <c r="N43" s="28">
        <v>450</v>
      </c>
      <c r="O43" s="25">
        <v>0</v>
      </c>
      <c r="P43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Row],[Avance]]+P42</f>
        <v>-17613.267499999998</v>
      </c>
    </row>
    <row r="44" spans="2:16" s="12" customFormat="1" x14ac:dyDescent="0.25">
      <c r="B44" s="47">
        <v>45195</v>
      </c>
      <c r="C44" s="27"/>
      <c r="D44" s="27"/>
      <c r="E44" s="27"/>
      <c r="F44" s="27" t="s">
        <v>151</v>
      </c>
      <c r="G44" s="27" t="s">
        <v>192</v>
      </c>
      <c r="H44" s="28">
        <v>0</v>
      </c>
      <c r="I44" s="28">
        <v>0</v>
      </c>
      <c r="J44" s="25"/>
      <c r="K44" s="25">
        <f>Table13478[[#This Row],[Valor de la Factura del Cliente]]*0.2</f>
        <v>0</v>
      </c>
      <c r="L44" s="25">
        <f>+Table13478[[#This Row],[Valor de la Factura del Cliente]]*0.05</f>
        <v>0</v>
      </c>
      <c r="M44" s="25">
        <v>0</v>
      </c>
      <c r="N44" s="28">
        <v>450</v>
      </c>
      <c r="O44" s="25">
        <v>0</v>
      </c>
      <c r="P44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Row],[Avance]]+P43</f>
        <v>-18063.267499999998</v>
      </c>
    </row>
    <row r="45" spans="2:16" s="12" customFormat="1" x14ac:dyDescent="0.25">
      <c r="B45" s="47">
        <v>45195</v>
      </c>
      <c r="C45" s="27"/>
      <c r="D45" s="27"/>
      <c r="E45" s="27"/>
      <c r="F45" s="27" t="s">
        <v>154</v>
      </c>
      <c r="G45" s="27" t="s">
        <v>154</v>
      </c>
      <c r="H45" s="28">
        <v>0</v>
      </c>
      <c r="I45" s="28">
        <v>0</v>
      </c>
      <c r="J45" s="25"/>
      <c r="K45" s="25">
        <f>Table13478[[#This Row],[Valor de la Factura del Cliente]]*0.2</f>
        <v>0</v>
      </c>
      <c r="L45" s="25">
        <f>+Table13478[[#This Row],[Valor de la Factura del Cliente]]*0.05</f>
        <v>0</v>
      </c>
      <c r="M45" s="25">
        <v>0</v>
      </c>
      <c r="N45" s="28">
        <v>600</v>
      </c>
      <c r="O45" s="25">
        <v>0</v>
      </c>
      <c r="P45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Row],[Avance]]+P44</f>
        <v>-18663.267499999998</v>
      </c>
    </row>
    <row r="46" spans="2:16" s="12" customFormat="1" x14ac:dyDescent="0.25">
      <c r="B46" s="47">
        <v>45197</v>
      </c>
      <c r="C46" s="27"/>
      <c r="D46" s="27"/>
      <c r="E46" s="27"/>
      <c r="F46" s="27" t="s">
        <v>155</v>
      </c>
      <c r="G46" s="27" t="s">
        <v>193</v>
      </c>
      <c r="H46" s="28">
        <v>0</v>
      </c>
      <c r="I46" s="28">
        <v>14.99</v>
      </c>
      <c r="J46" s="25"/>
      <c r="K46" s="25">
        <f>Table13478[[#This Row],[Valor de la Factura del Cliente]]*0.2</f>
        <v>0</v>
      </c>
      <c r="L46" s="25">
        <f>+Table13478[[#This Row],[Valor de la Factura del Cliente]]*0.05</f>
        <v>0</v>
      </c>
      <c r="M46" s="25">
        <v>0</v>
      </c>
      <c r="N46" s="28">
        <v>1600</v>
      </c>
      <c r="O46" s="25">
        <v>0</v>
      </c>
      <c r="P46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Row],[Avance]]+P45</f>
        <v>-20278.2575</v>
      </c>
    </row>
    <row r="47" spans="2:16" s="12" customFormat="1" x14ac:dyDescent="0.25">
      <c r="B47" s="47">
        <v>45209</v>
      </c>
      <c r="C47" s="27"/>
      <c r="D47" s="27"/>
      <c r="E47" s="27"/>
      <c r="F47" s="27" t="s">
        <v>156</v>
      </c>
      <c r="G47" s="27" t="s">
        <v>194</v>
      </c>
      <c r="H47" s="28">
        <v>0</v>
      </c>
      <c r="I47" s="28">
        <v>14.99</v>
      </c>
      <c r="J47" s="25"/>
      <c r="K47" s="25">
        <f>Table13478[[#This Row],[Valor de la Factura del Cliente]]*0.2</f>
        <v>0</v>
      </c>
      <c r="L47" s="25">
        <f>+Table13478[[#This Row],[Valor de la Factura del Cliente]]*0.05</f>
        <v>0</v>
      </c>
      <c r="M47" s="25">
        <v>0</v>
      </c>
      <c r="N47" s="28">
        <v>1898</v>
      </c>
      <c r="O47" s="25">
        <v>0</v>
      </c>
      <c r="P47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Row],[Avance]]+P46</f>
        <v>-22191.247500000001</v>
      </c>
    </row>
    <row r="48" spans="2:16" s="12" customFormat="1" x14ac:dyDescent="0.25">
      <c r="B48" s="47">
        <v>45230</v>
      </c>
      <c r="C48" s="27"/>
      <c r="D48" s="27"/>
      <c r="E48" s="27"/>
      <c r="F48" s="27" t="s">
        <v>151</v>
      </c>
      <c r="G48" s="27" t="s">
        <v>192</v>
      </c>
      <c r="H48" s="28">
        <v>0</v>
      </c>
      <c r="I48" s="28">
        <v>0</v>
      </c>
      <c r="J48" s="25"/>
      <c r="K48" s="25">
        <f>Table13478[[#This Row],[Valor de la Factura del Cliente]]*0.2</f>
        <v>0</v>
      </c>
      <c r="L48" s="25">
        <f>+Table13478[[#This Row],[Valor de la Factura del Cliente]]*0.05</f>
        <v>0</v>
      </c>
      <c r="M48" s="25">
        <v>0</v>
      </c>
      <c r="N48" s="28">
        <v>450</v>
      </c>
      <c r="O48" s="25">
        <v>0</v>
      </c>
      <c r="P48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Row],[Avance]]+P47</f>
        <v>-22641.247500000001</v>
      </c>
    </row>
    <row r="49" spans="2:16" s="12" customFormat="1" x14ac:dyDescent="0.25">
      <c r="B49" s="47">
        <v>45245</v>
      </c>
      <c r="C49" s="27"/>
      <c r="D49" s="27"/>
      <c r="E49" s="27"/>
      <c r="F49" s="27" t="s">
        <v>151</v>
      </c>
      <c r="G49" s="27" t="s">
        <v>192</v>
      </c>
      <c r="H49" s="28">
        <v>0</v>
      </c>
      <c r="I49" s="28">
        <v>0</v>
      </c>
      <c r="J49" s="25"/>
      <c r="K49" s="25">
        <f>Table13478[[#This Row],[Valor de la Factura del Cliente]]*0.2</f>
        <v>0</v>
      </c>
      <c r="L49" s="25">
        <f>+Table13478[[#This Row],[Valor de la Factura del Cliente]]*0.05</f>
        <v>0</v>
      </c>
      <c r="M49" s="25">
        <v>0</v>
      </c>
      <c r="N49" s="28">
        <v>450</v>
      </c>
      <c r="O49" s="25">
        <v>0</v>
      </c>
      <c r="P4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Row],[Avance]]+P48</f>
        <v>-23091.247500000001</v>
      </c>
    </row>
    <row r="50" spans="2:16" s="12" customFormat="1" x14ac:dyDescent="0.25">
      <c r="B50" s="47">
        <v>45293</v>
      </c>
      <c r="C50" s="27"/>
      <c r="D50" s="27"/>
      <c r="E50" s="27"/>
      <c r="F50" s="27" t="s">
        <v>151</v>
      </c>
      <c r="G50" s="27" t="s">
        <v>192</v>
      </c>
      <c r="H50" s="28">
        <v>0</v>
      </c>
      <c r="I50" s="28">
        <v>0</v>
      </c>
      <c r="J50" s="25"/>
      <c r="K50" s="25">
        <f>Table13478[[#This Row],[Valor de la Factura del Cliente]]*0.2</f>
        <v>0</v>
      </c>
      <c r="L50" s="25">
        <f>+Table13478[[#This Row],[Valor de la Factura del Cliente]]*0.05</f>
        <v>0</v>
      </c>
      <c r="M50" s="25">
        <v>0</v>
      </c>
      <c r="N50" s="28">
        <v>450</v>
      </c>
      <c r="O50" s="25">
        <v>0</v>
      </c>
      <c r="P5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Row],[Avance]]+P49</f>
        <v>-23541.247500000001</v>
      </c>
    </row>
    <row r="51" spans="2:16" s="12" customFormat="1" x14ac:dyDescent="0.25">
      <c r="B51" s="47">
        <v>45328</v>
      </c>
      <c r="C51" s="27"/>
      <c r="D51" s="27"/>
      <c r="E51" s="27"/>
      <c r="F51" s="27" t="s">
        <v>119</v>
      </c>
      <c r="G51" s="27" t="s">
        <v>195</v>
      </c>
      <c r="H51" s="28">
        <v>0</v>
      </c>
      <c r="I51" s="28">
        <v>0</v>
      </c>
      <c r="J51" s="25"/>
      <c r="K51" s="25">
        <f>Table13478[[#This Row],[Valor de la Factura del Cliente]]*0.2</f>
        <v>0</v>
      </c>
      <c r="L51" s="25">
        <f>+Table13478[[#This Row],[Valor de la Factura del Cliente]]*0.05</f>
        <v>0</v>
      </c>
      <c r="M51" s="25">
        <v>0</v>
      </c>
      <c r="N51" s="28">
        <v>375</v>
      </c>
      <c r="O51" s="25">
        <v>0</v>
      </c>
      <c r="P51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Row],[Avance]]+P50</f>
        <v>-23916.247500000001</v>
      </c>
    </row>
    <row r="52" spans="2:16" s="12" customFormat="1" ht="36" x14ac:dyDescent="0.25">
      <c r="B52" s="47">
        <v>45337</v>
      </c>
      <c r="C52" s="27"/>
      <c r="D52" s="27"/>
      <c r="E52" s="27"/>
      <c r="F52" s="27" t="s">
        <v>157</v>
      </c>
      <c r="G52" s="27" t="s">
        <v>196</v>
      </c>
      <c r="H52" s="28">
        <v>0</v>
      </c>
      <c r="I52" s="28">
        <v>0</v>
      </c>
      <c r="J52" s="25"/>
      <c r="K52" s="25">
        <f>Table13478[[#This Row],[Valor de la Factura del Cliente]]*0.2</f>
        <v>0</v>
      </c>
      <c r="L52" s="25">
        <f>+Table13478[[#This Row],[Valor de la Factura del Cliente]]*0.05</f>
        <v>0</v>
      </c>
      <c r="M52" s="25">
        <v>0</v>
      </c>
      <c r="N52" s="28">
        <v>260</v>
      </c>
      <c r="O52" s="25">
        <v>0</v>
      </c>
      <c r="P52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Row],[Avance]]+P51</f>
        <v>-24176.247500000001</v>
      </c>
    </row>
    <row r="53" spans="2:16" s="12" customFormat="1" x14ac:dyDescent="0.25">
      <c r="B53" s="47">
        <v>45383</v>
      </c>
      <c r="C53" s="27"/>
      <c r="D53" s="27"/>
      <c r="E53" s="27"/>
      <c r="F53" s="27" t="s">
        <v>8</v>
      </c>
      <c r="G53" s="27" t="s">
        <v>197</v>
      </c>
      <c r="H53" s="28">
        <v>0</v>
      </c>
      <c r="I53" s="28">
        <v>7.99</v>
      </c>
      <c r="J53" s="25"/>
      <c r="K53" s="25">
        <f>Table13478[[#This Row],[Valor de la Factura del Cliente]]*0.2</f>
        <v>0</v>
      </c>
      <c r="L53" s="25">
        <f>+Table13478[[#This Row],[Valor de la Factura del Cliente]]*0.05</f>
        <v>0</v>
      </c>
      <c r="M53" s="25">
        <v>0</v>
      </c>
      <c r="N53" s="28">
        <v>450</v>
      </c>
      <c r="O53" s="25">
        <v>0</v>
      </c>
      <c r="P53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Row],[Avance]]+P52</f>
        <v>-24634.237500000003</v>
      </c>
    </row>
    <row r="54" spans="2:16" s="12" customFormat="1" x14ac:dyDescent="0.25">
      <c r="B54" s="47">
        <v>45408</v>
      </c>
      <c r="C54" s="27"/>
      <c r="D54" s="27"/>
      <c r="E54" s="27"/>
      <c r="F54" s="27" t="s">
        <v>8</v>
      </c>
      <c r="G54" s="27" t="s">
        <v>197</v>
      </c>
      <c r="H54" s="28">
        <v>0</v>
      </c>
      <c r="I54" s="28">
        <v>14.99</v>
      </c>
      <c r="J54" s="25"/>
      <c r="K54" s="25">
        <f>Table13478[[#This Row],[Valor de la Factura del Cliente]]*0.2</f>
        <v>0</v>
      </c>
      <c r="L54" s="25">
        <f>+Table13478[[#This Row],[Valor de la Factura del Cliente]]*0.05</f>
        <v>0</v>
      </c>
      <c r="M54" s="25">
        <v>0</v>
      </c>
      <c r="N54" s="28">
        <v>1250</v>
      </c>
      <c r="O54" s="25">
        <v>0</v>
      </c>
      <c r="P54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Row],[Avance]]+P53</f>
        <v>-25899.227500000005</v>
      </c>
    </row>
    <row r="55" spans="2:16" s="12" customFormat="1" x14ac:dyDescent="0.25">
      <c r="B55" s="47">
        <v>45413</v>
      </c>
      <c r="C55" s="27"/>
      <c r="D55" s="27"/>
      <c r="E55" s="27"/>
      <c r="F55" s="27" t="s">
        <v>151</v>
      </c>
      <c r="G55" s="27" t="s">
        <v>198</v>
      </c>
      <c r="H55" s="28">
        <v>0</v>
      </c>
      <c r="I55" s="28">
        <v>0</v>
      </c>
      <c r="J55" s="25"/>
      <c r="K55" s="25">
        <f>Table13478[[#This Row],[Valor de la Factura del Cliente]]*0.2</f>
        <v>0</v>
      </c>
      <c r="L55" s="25">
        <f>+Table13478[[#This Row],[Valor de la Factura del Cliente]]*0.05</f>
        <v>0</v>
      </c>
      <c r="M55" s="25">
        <v>0</v>
      </c>
      <c r="N55" s="28">
        <v>804.99</v>
      </c>
      <c r="O55" s="25">
        <v>0</v>
      </c>
      <c r="P55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Row],[Avance]]+P54</f>
        <v>-26704.217500000006</v>
      </c>
    </row>
    <row r="56" spans="2:16" s="12" customFormat="1" ht="36" x14ac:dyDescent="0.25">
      <c r="B56" s="47">
        <v>45428</v>
      </c>
      <c r="C56" s="27"/>
      <c r="D56" s="27"/>
      <c r="E56" s="27"/>
      <c r="F56" s="27"/>
      <c r="G56" s="27" t="s">
        <v>199</v>
      </c>
      <c r="H56" s="28">
        <v>0</v>
      </c>
      <c r="I56" s="28">
        <v>0</v>
      </c>
      <c r="J56" s="25"/>
      <c r="K56" s="25">
        <f>Table13478[[#This Row],[Valor de la Factura del Cliente]]*0.2</f>
        <v>0</v>
      </c>
      <c r="L56" s="25">
        <f>+Table13478[[#This Row],[Valor de la Factura del Cliente]]*0.05</f>
        <v>0</v>
      </c>
      <c r="M56" s="25">
        <v>0</v>
      </c>
      <c r="N56" s="28">
        <v>672</v>
      </c>
      <c r="O56" s="25">
        <v>0</v>
      </c>
      <c r="P56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Row],[Avance]]+P55</f>
        <v>-27376.217500000006</v>
      </c>
    </row>
    <row r="57" spans="2:16" s="12" customFormat="1" x14ac:dyDescent="0.25">
      <c r="B57" s="47">
        <v>45442</v>
      </c>
      <c r="C57" s="27"/>
      <c r="D57" s="27"/>
      <c r="E57" s="27"/>
      <c r="F57" s="27" t="s">
        <v>158</v>
      </c>
      <c r="G57" s="27" t="s">
        <v>200</v>
      </c>
      <c r="H57" s="28">
        <v>0</v>
      </c>
      <c r="I57" s="28">
        <v>0</v>
      </c>
      <c r="J57" s="25"/>
      <c r="K57" s="25">
        <f>Table13478[[#This Row],[Valor de la Factura del Cliente]]*0.2</f>
        <v>0</v>
      </c>
      <c r="L57" s="25">
        <f>+Table13478[[#This Row],[Valor de la Factura del Cliente]]*0.05</f>
        <v>0</v>
      </c>
      <c r="M57" s="25">
        <v>0</v>
      </c>
      <c r="N57" s="28">
        <v>208.75</v>
      </c>
      <c r="O57" s="25">
        <v>0</v>
      </c>
      <c r="P57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Row],[Avance]]+P56</f>
        <v>-27584.967500000006</v>
      </c>
    </row>
    <row r="58" spans="2:16" s="12" customFormat="1" x14ac:dyDescent="0.25">
      <c r="B58" s="47">
        <v>45444</v>
      </c>
      <c r="C58" s="27"/>
      <c r="D58" s="27"/>
      <c r="E58" s="27"/>
      <c r="F58" s="27" t="s">
        <v>158</v>
      </c>
      <c r="G58" s="27" t="s">
        <v>201</v>
      </c>
      <c r="H58" s="28">
        <v>0</v>
      </c>
      <c r="I58" s="28">
        <v>0</v>
      </c>
      <c r="J58" s="25"/>
      <c r="K58" s="25">
        <f>Table13478[[#This Row],[Valor de la Factura del Cliente]]*0.2</f>
        <v>0</v>
      </c>
      <c r="L58" s="25">
        <f>+Table13478[[#This Row],[Valor de la Factura del Cliente]]*0.05</f>
        <v>0</v>
      </c>
      <c r="M58" s="25">
        <v>0</v>
      </c>
      <c r="N58" s="28">
        <v>204.5</v>
      </c>
      <c r="O58" s="25">
        <v>0</v>
      </c>
      <c r="P58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Row],[Avance]]+P57</f>
        <v>-27789.467500000006</v>
      </c>
    </row>
    <row r="59" spans="2:16" s="12" customFormat="1" ht="36" x14ac:dyDescent="0.25">
      <c r="B59" s="47">
        <v>45456</v>
      </c>
      <c r="C59" s="27"/>
      <c r="D59" s="27"/>
      <c r="E59" s="27"/>
      <c r="F59" s="27" t="s">
        <v>159</v>
      </c>
      <c r="G59" s="27" t="s">
        <v>202</v>
      </c>
      <c r="H59" s="28">
        <v>0</v>
      </c>
      <c r="I59" s="28">
        <v>19.989999999999998</v>
      </c>
      <c r="J59" s="25"/>
      <c r="K59" s="25">
        <f>Table13478[[#This Row],[Valor de la Factura del Cliente]]*0.2</f>
        <v>0</v>
      </c>
      <c r="L59" s="25">
        <f>+Table13478[[#This Row],[Valor de la Factura del Cliente]]*0.05</f>
        <v>0</v>
      </c>
      <c r="M59" s="25">
        <v>0</v>
      </c>
      <c r="N59" s="28">
        <v>2000</v>
      </c>
      <c r="O59" s="25">
        <v>0</v>
      </c>
      <c r="P5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Row],[Avance]]+P58</f>
        <v>-29809.457500000008</v>
      </c>
    </row>
    <row r="60" spans="2:16" s="12" customFormat="1" ht="36" x14ac:dyDescent="0.25">
      <c r="B60" s="47">
        <v>45465</v>
      </c>
      <c r="C60" s="27"/>
      <c r="D60" s="27"/>
      <c r="E60" s="27"/>
      <c r="F60" s="27" t="s">
        <v>8</v>
      </c>
      <c r="G60" s="27" t="s">
        <v>203</v>
      </c>
      <c r="H60" s="28">
        <v>0</v>
      </c>
      <c r="I60" s="28">
        <v>19.989999999999998</v>
      </c>
      <c r="J60" s="25"/>
      <c r="K60" s="25">
        <f>Table13478[[#This Row],[Valor de la Factura del Cliente]]*0.2</f>
        <v>0</v>
      </c>
      <c r="L60" s="25">
        <f>+Table13478[[#This Row],[Valor de la Factura del Cliente]]*0.05</f>
        <v>0</v>
      </c>
      <c r="M60" s="25">
        <v>0</v>
      </c>
      <c r="N60" s="28">
        <v>2000</v>
      </c>
      <c r="O60" s="25">
        <v>0</v>
      </c>
      <c r="P6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Row],[Avance]]+P59</f>
        <v>-31829.447500000009</v>
      </c>
    </row>
    <row r="61" spans="2:16" s="12" customFormat="1" x14ac:dyDescent="0.25">
      <c r="B61" s="47">
        <v>45467</v>
      </c>
      <c r="C61" s="27"/>
      <c r="D61" s="27"/>
      <c r="E61" s="27"/>
      <c r="F61" s="27" t="s">
        <v>47</v>
      </c>
      <c r="G61" s="27" t="s">
        <v>204</v>
      </c>
      <c r="H61" s="28">
        <v>0</v>
      </c>
      <c r="I61" s="28">
        <v>0</v>
      </c>
      <c r="J61" s="25"/>
      <c r="K61" s="25">
        <f>Table13478[[#This Row],[Valor de la Factura del Cliente]]*0.2</f>
        <v>0</v>
      </c>
      <c r="L61" s="25">
        <f>+Table13478[[#This Row],[Valor de la Factura del Cliente]]*0.05</f>
        <v>0</v>
      </c>
      <c r="M61" s="25">
        <v>0</v>
      </c>
      <c r="N61" s="28">
        <v>255.41</v>
      </c>
      <c r="O61" s="25">
        <v>0</v>
      </c>
      <c r="P61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Row],[Avance]]+P60</f>
        <v>-32084.857500000009</v>
      </c>
    </row>
    <row r="62" spans="2:16" x14ac:dyDescent="0.45">
      <c r="B62" s="47">
        <v>45490</v>
      </c>
      <c r="C62" s="43"/>
      <c r="D62" s="43"/>
      <c r="E62" s="43"/>
      <c r="F62" s="43" t="s">
        <v>47</v>
      </c>
      <c r="G62" s="43" t="s">
        <v>204</v>
      </c>
      <c r="H62" s="45">
        <v>0</v>
      </c>
      <c r="I62" s="45">
        <v>0</v>
      </c>
      <c r="J62" s="64"/>
      <c r="K62" s="25">
        <f>Table13478[[#This Row],[Valor de la Factura del Cliente]]*0.2</f>
        <v>0</v>
      </c>
      <c r="L62" s="25">
        <f>+Table13478[[#This Row],[Valor de la Factura del Cliente]]*0.05</f>
        <v>0</v>
      </c>
      <c r="M62" s="25">
        <v>0</v>
      </c>
      <c r="N62" s="45">
        <v>267.99</v>
      </c>
      <c r="O62" s="25">
        <v>0</v>
      </c>
      <c r="P62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Row],[Avance]]+P61</f>
        <v>-32352.847500000011</v>
      </c>
    </row>
    <row r="63" spans="2:16" x14ac:dyDescent="0.45">
      <c r="B63" s="47">
        <v>45530</v>
      </c>
      <c r="C63" s="43"/>
      <c r="D63" s="43"/>
      <c r="E63" s="43"/>
      <c r="F63" s="43" t="s">
        <v>160</v>
      </c>
      <c r="G63" s="43" t="s">
        <v>205</v>
      </c>
      <c r="H63" s="45">
        <v>0</v>
      </c>
      <c r="I63" s="45">
        <v>0</v>
      </c>
      <c r="J63" s="64"/>
      <c r="K63" s="25">
        <f>Table13478[[#This Row],[Valor de la Factura del Cliente]]*0.2</f>
        <v>0</v>
      </c>
      <c r="L63" s="25">
        <f>+Table13478[[#This Row],[Valor de la Factura del Cliente]]*0.05</f>
        <v>0</v>
      </c>
      <c r="M63" s="25">
        <v>0</v>
      </c>
      <c r="N63" s="45">
        <v>125</v>
      </c>
      <c r="O63" s="25">
        <v>0</v>
      </c>
      <c r="P63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Row],[Avance]]+P62</f>
        <v>-32477.847500000011</v>
      </c>
    </row>
    <row r="64" spans="2:16" ht="36" x14ac:dyDescent="0.45">
      <c r="B64" s="47">
        <v>45601</v>
      </c>
      <c r="C64" s="43"/>
      <c r="D64" s="43"/>
      <c r="E64" s="43"/>
      <c r="F64" s="43" t="s">
        <v>161</v>
      </c>
      <c r="G64" s="43" t="s">
        <v>206</v>
      </c>
      <c r="H64" s="45">
        <v>0</v>
      </c>
      <c r="I64" s="45">
        <v>0</v>
      </c>
      <c r="J64" s="64"/>
      <c r="K64" s="25">
        <f>Table13478[[#This Row],[Valor de la Factura del Cliente]]*0.2</f>
        <v>0</v>
      </c>
      <c r="L64" s="25">
        <f>+Table13478[[#This Row],[Valor de la Factura del Cliente]]*0.05</f>
        <v>0</v>
      </c>
      <c r="M64" s="25">
        <v>0</v>
      </c>
      <c r="N64" s="45">
        <v>20.74</v>
      </c>
      <c r="O64" s="25">
        <v>0</v>
      </c>
      <c r="P64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Row],[Avance]]+P63</f>
        <v>-32498.587500000012</v>
      </c>
    </row>
    <row r="65" spans="2:16" x14ac:dyDescent="0.45">
      <c r="B65" s="47">
        <v>45839</v>
      </c>
      <c r="C65" s="43"/>
      <c r="D65" s="43"/>
      <c r="E65" s="43"/>
      <c r="F65" s="43" t="s">
        <v>8</v>
      </c>
      <c r="G65" s="43" t="s">
        <v>207</v>
      </c>
      <c r="H65" s="45">
        <v>0</v>
      </c>
      <c r="I65" s="45">
        <v>2.99</v>
      </c>
      <c r="J65" s="64"/>
      <c r="K65" s="25">
        <f>Table13478[[#This Row],[Valor de la Factura del Cliente]]*0.2</f>
        <v>0</v>
      </c>
      <c r="L65" s="25">
        <f>+Table13478[[#This Row],[Valor de la Factura del Cliente]]*0.05</f>
        <v>0</v>
      </c>
      <c r="M65" s="25">
        <v>0</v>
      </c>
      <c r="N65" s="45">
        <v>125</v>
      </c>
      <c r="O65" s="25">
        <v>0</v>
      </c>
      <c r="P65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Row],[Avance]]+P64</f>
        <v>-32626.577500000014</v>
      </c>
    </row>
    <row r="66" spans="2:16" x14ac:dyDescent="0.45">
      <c r="B66" s="47">
        <v>45841</v>
      </c>
      <c r="C66" s="43"/>
      <c r="D66" s="43"/>
      <c r="E66" s="43"/>
      <c r="F66" s="43" t="s">
        <v>162</v>
      </c>
      <c r="G66" s="43" t="s">
        <v>208</v>
      </c>
      <c r="H66" s="45">
        <v>0</v>
      </c>
      <c r="I66" s="45">
        <v>0</v>
      </c>
      <c r="J66" s="64"/>
      <c r="K66" s="25">
        <f>Table13478[[#This Row],[Valor de la Factura del Cliente]]*0.2</f>
        <v>0</v>
      </c>
      <c r="L66" s="25">
        <f>+Table13478[[#This Row],[Valor de la Factura del Cliente]]*0.05</f>
        <v>0</v>
      </c>
      <c r="M66" s="25">
        <v>0</v>
      </c>
      <c r="N66" s="45">
        <v>2</v>
      </c>
      <c r="O66" s="25">
        <v>0</v>
      </c>
      <c r="P66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Row],[Avance]]+P65</f>
        <v>-32628.577500000014</v>
      </c>
    </row>
    <row r="67" spans="2:16" x14ac:dyDescent="0.45">
      <c r="B67" s="47">
        <v>45841</v>
      </c>
      <c r="C67" s="43"/>
      <c r="D67" s="43"/>
      <c r="E67" s="43"/>
      <c r="F67" s="43" t="s">
        <v>162</v>
      </c>
      <c r="G67" s="43" t="s">
        <v>208</v>
      </c>
      <c r="H67" s="45">
        <v>0</v>
      </c>
      <c r="I67" s="45">
        <v>0</v>
      </c>
      <c r="J67" s="64"/>
      <c r="K67" s="25">
        <f>Table13478[[#This Row],[Valor de la Factura del Cliente]]*0.2</f>
        <v>0</v>
      </c>
      <c r="L67" s="25">
        <f>+Table13478[[#This Row],[Valor de la Factura del Cliente]]*0.05</f>
        <v>0</v>
      </c>
      <c r="M67" s="25">
        <v>0</v>
      </c>
      <c r="N67" s="45">
        <v>3</v>
      </c>
      <c r="O67" s="25">
        <v>0</v>
      </c>
      <c r="P67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Row],[Avance]]+P66</f>
        <v>-32631.577500000014</v>
      </c>
    </row>
    <row r="68" spans="2:16" x14ac:dyDescent="0.45">
      <c r="B68" s="47">
        <v>45842</v>
      </c>
      <c r="C68" s="43"/>
      <c r="D68" s="43"/>
      <c r="E68" s="43"/>
      <c r="F68" s="43" t="s">
        <v>162</v>
      </c>
      <c r="G68" s="43" t="s">
        <v>208</v>
      </c>
      <c r="H68" s="45">
        <v>0</v>
      </c>
      <c r="I68" s="45">
        <v>0</v>
      </c>
      <c r="J68" s="64"/>
      <c r="K68" s="25">
        <f>Table13478[[#This Row],[Valor de la Factura del Cliente]]*0.2</f>
        <v>0</v>
      </c>
      <c r="L68" s="25">
        <f>+Table13478[[#This Row],[Valor de la Factura del Cliente]]*0.05</f>
        <v>0</v>
      </c>
      <c r="M68" s="25">
        <v>0</v>
      </c>
      <c r="N68" s="45">
        <v>4</v>
      </c>
      <c r="O68" s="25">
        <v>0</v>
      </c>
      <c r="P68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Row],[Avance]]+P67</f>
        <v>-32635.577500000014</v>
      </c>
    </row>
    <row r="69" spans="2:16" x14ac:dyDescent="0.45">
      <c r="B69" s="47">
        <v>45842</v>
      </c>
      <c r="C69" s="43"/>
      <c r="D69" s="43"/>
      <c r="E69" s="43"/>
      <c r="F69" s="43" t="s">
        <v>163</v>
      </c>
      <c r="G69" s="43" t="s">
        <v>209</v>
      </c>
      <c r="H69" s="45">
        <v>0</v>
      </c>
      <c r="I69" s="45">
        <v>0</v>
      </c>
      <c r="J69" s="64"/>
      <c r="K69" s="25">
        <f>Table13478[[#This Row],[Valor de la Factura del Cliente]]*0.2</f>
        <v>0</v>
      </c>
      <c r="L69" s="25">
        <f>+Table13478[[#This Row],[Valor de la Factura del Cliente]]*0.05</f>
        <v>0</v>
      </c>
      <c r="M69" s="25">
        <v>0</v>
      </c>
      <c r="N69" s="45">
        <v>139.36000000000001</v>
      </c>
      <c r="O69" s="25">
        <v>0</v>
      </c>
      <c r="P6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Row],[Avance]]+P68</f>
        <v>-32774.937500000015</v>
      </c>
    </row>
    <row r="70" spans="2:16" x14ac:dyDescent="0.45">
      <c r="B70" s="47">
        <v>45843</v>
      </c>
      <c r="C70" s="43"/>
      <c r="D70" s="43"/>
      <c r="E70" s="43"/>
      <c r="F70" s="43" t="s">
        <v>162</v>
      </c>
      <c r="G70" s="43" t="s">
        <v>208</v>
      </c>
      <c r="H70" s="45">
        <v>0</v>
      </c>
      <c r="I70" s="45">
        <v>0</v>
      </c>
      <c r="J70" s="64"/>
      <c r="K70" s="25">
        <f>Table13478[[#This Row],[Valor de la Factura del Cliente]]*0.2</f>
        <v>0</v>
      </c>
      <c r="L70" s="25">
        <f>+Table13478[[#This Row],[Valor de la Factura del Cliente]]*0.05</f>
        <v>0</v>
      </c>
      <c r="M70" s="25">
        <v>0</v>
      </c>
      <c r="N70" s="45">
        <v>6</v>
      </c>
      <c r="O70" s="25">
        <v>0</v>
      </c>
      <c r="P7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Row],[Avance]]+P69</f>
        <v>-32780.937500000015</v>
      </c>
    </row>
    <row r="71" spans="2:16" x14ac:dyDescent="0.45">
      <c r="B71" s="47">
        <v>45843</v>
      </c>
      <c r="C71" s="43"/>
      <c r="D71" s="43"/>
      <c r="E71" s="43"/>
      <c r="F71" s="43" t="s">
        <v>162</v>
      </c>
      <c r="G71" s="43" t="s">
        <v>208</v>
      </c>
      <c r="H71" s="45">
        <v>0</v>
      </c>
      <c r="I71" s="45">
        <v>0</v>
      </c>
      <c r="J71" s="64"/>
      <c r="K71" s="25">
        <f>Table13478[[#This Row],[Valor de la Factura del Cliente]]*0.2</f>
        <v>0</v>
      </c>
      <c r="L71" s="25">
        <f>+Table13478[[#This Row],[Valor de la Factura del Cliente]]*0.05</f>
        <v>0</v>
      </c>
      <c r="M71" s="25">
        <v>0</v>
      </c>
      <c r="N71" s="45">
        <v>7</v>
      </c>
      <c r="O71" s="25">
        <v>0</v>
      </c>
      <c r="P71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Row],[Avance]]+P70</f>
        <v>-32787.937500000015</v>
      </c>
    </row>
    <row r="72" spans="2:16" x14ac:dyDescent="0.45">
      <c r="B72" s="47">
        <v>45842</v>
      </c>
      <c r="C72" s="43"/>
      <c r="D72" s="43"/>
      <c r="E72" s="43"/>
      <c r="F72" s="43" t="s">
        <v>162</v>
      </c>
      <c r="G72" s="43" t="s">
        <v>208</v>
      </c>
      <c r="H72" s="45">
        <v>0</v>
      </c>
      <c r="I72" s="45">
        <v>0</v>
      </c>
      <c r="J72" s="64"/>
      <c r="K72" s="25">
        <f>Table13478[[#This Row],[Valor de la Factura del Cliente]]*0.2</f>
        <v>0</v>
      </c>
      <c r="L72" s="25">
        <f>+Table13478[[#This Row],[Valor de la Factura del Cliente]]*0.05</f>
        <v>0</v>
      </c>
      <c r="M72" s="25">
        <v>0</v>
      </c>
      <c r="N72" s="45">
        <v>5</v>
      </c>
      <c r="O72" s="25">
        <v>0</v>
      </c>
      <c r="P72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Row],[Avance]]+P71</f>
        <v>-32792.937500000015</v>
      </c>
    </row>
    <row r="73" spans="2:16" x14ac:dyDescent="0.45">
      <c r="B73" s="47">
        <v>45844</v>
      </c>
      <c r="C73" s="43"/>
      <c r="D73" s="43"/>
      <c r="E73" s="43"/>
      <c r="F73" s="43" t="s">
        <v>162</v>
      </c>
      <c r="G73" s="43" t="s">
        <v>208</v>
      </c>
      <c r="H73" s="45">
        <v>0</v>
      </c>
      <c r="I73" s="45">
        <v>0</v>
      </c>
      <c r="J73" s="64"/>
      <c r="K73" s="25">
        <f>Table13478[[#This Row],[Valor de la Factura del Cliente]]*0.2</f>
        <v>0</v>
      </c>
      <c r="L73" s="25">
        <f>+Table13478[[#This Row],[Valor de la Factura del Cliente]]*0.05</f>
        <v>0</v>
      </c>
      <c r="M73" s="25">
        <v>0</v>
      </c>
      <c r="N73" s="45">
        <v>8</v>
      </c>
      <c r="O73" s="25">
        <v>0</v>
      </c>
      <c r="P73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Row],[Avance]]+P72</f>
        <v>-32800.937500000015</v>
      </c>
    </row>
    <row r="74" spans="2:16" x14ac:dyDescent="0.45">
      <c r="B74" s="47">
        <v>45845</v>
      </c>
      <c r="C74" s="43"/>
      <c r="D74" s="43"/>
      <c r="E74" s="43"/>
      <c r="F74" s="43" t="s">
        <v>162</v>
      </c>
      <c r="G74" s="43" t="s">
        <v>208</v>
      </c>
      <c r="H74" s="45">
        <v>0</v>
      </c>
      <c r="I74" s="45">
        <v>0</v>
      </c>
      <c r="J74" s="64"/>
      <c r="K74" s="25">
        <f>Table13478[[#This Row],[Valor de la Factura del Cliente]]*0.2</f>
        <v>0</v>
      </c>
      <c r="L74" s="25">
        <f>+Table13478[[#This Row],[Valor de la Factura del Cliente]]*0.05</f>
        <v>0</v>
      </c>
      <c r="M74" s="25">
        <v>0</v>
      </c>
      <c r="N74" s="45">
        <v>9</v>
      </c>
      <c r="O74" s="25">
        <v>0</v>
      </c>
      <c r="P74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Row],[Avance]]+P73</f>
        <v>-32809.937500000015</v>
      </c>
    </row>
    <row r="75" spans="2:16" x14ac:dyDescent="0.45">
      <c r="B75" s="47">
        <v>45871</v>
      </c>
      <c r="C75" s="43"/>
      <c r="D75" s="43"/>
      <c r="E75" s="43"/>
      <c r="F75" s="43" t="s">
        <v>163</v>
      </c>
      <c r="G75" s="43" t="s">
        <v>209</v>
      </c>
      <c r="H75" s="45">
        <v>0</v>
      </c>
      <c r="I75" s="45">
        <v>0</v>
      </c>
      <c r="J75" s="64"/>
      <c r="K75" s="25">
        <f>Table13478[[#This Row],[Valor de la Factura del Cliente]]*0.2</f>
        <v>0</v>
      </c>
      <c r="L75" s="25">
        <f>+Table13478[[#This Row],[Valor de la Factura del Cliente]]*0.05</f>
        <v>0</v>
      </c>
      <c r="M75" s="25">
        <v>0</v>
      </c>
      <c r="N75" s="45">
        <v>139.36000000000001</v>
      </c>
      <c r="O75" s="25">
        <v>0</v>
      </c>
      <c r="P75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Row],[Avance]]+P74</f>
        <v>-32949.297500000015</v>
      </c>
    </row>
    <row r="76" spans="2:16" x14ac:dyDescent="0.45">
      <c r="B76" s="47">
        <v>45873</v>
      </c>
      <c r="C76" s="43"/>
      <c r="D76" s="43"/>
      <c r="E76" s="43"/>
      <c r="F76" s="43" t="s">
        <v>163</v>
      </c>
      <c r="G76" s="43" t="s">
        <v>208</v>
      </c>
      <c r="H76" s="45">
        <v>0</v>
      </c>
      <c r="I76" s="45">
        <v>0</v>
      </c>
      <c r="J76" s="64"/>
      <c r="K76" s="25">
        <f>Table13478[[#This Row],[Valor de la Factura del Cliente]]*0.2</f>
        <v>0</v>
      </c>
      <c r="L76" s="25">
        <f>+Table13478[[#This Row],[Valor de la Factura del Cliente]]*0.05</f>
        <v>0</v>
      </c>
      <c r="M76" s="25">
        <v>0</v>
      </c>
      <c r="N76" s="45">
        <v>8</v>
      </c>
      <c r="O76" s="25">
        <v>0</v>
      </c>
      <c r="P76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Row],[Avance]]+P75</f>
        <v>-32957.297500000015</v>
      </c>
    </row>
    <row r="77" spans="2:16" x14ac:dyDescent="0.45">
      <c r="B77" s="47">
        <v>45863</v>
      </c>
      <c r="C77" s="43"/>
      <c r="D77" s="43"/>
      <c r="E77" s="43"/>
      <c r="F77" s="43" t="s">
        <v>8</v>
      </c>
      <c r="G77" s="43" t="s">
        <v>207</v>
      </c>
      <c r="H77" s="45">
        <v>0</v>
      </c>
      <c r="I77" s="45">
        <v>2.99</v>
      </c>
      <c r="J77" s="64"/>
      <c r="K77" s="25">
        <f>Table13478[[#This Row],[Valor de la Factura del Cliente]]*0.2</f>
        <v>0</v>
      </c>
      <c r="L77" s="25">
        <f>+Table13478[[#This Row],[Valor de la Factura del Cliente]]*0.05</f>
        <v>0</v>
      </c>
      <c r="M77" s="25">
        <v>0</v>
      </c>
      <c r="N77" s="45">
        <v>250</v>
      </c>
      <c r="O77" s="25">
        <v>0</v>
      </c>
      <c r="P77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Row],[Avance]]+P76</f>
        <v>-33210.287500000013</v>
      </c>
    </row>
    <row r="78" spans="2:16" ht="36" x14ac:dyDescent="0.45">
      <c r="B78" s="47">
        <v>45866</v>
      </c>
      <c r="C78" s="43"/>
      <c r="D78" s="43"/>
      <c r="E78" s="43"/>
      <c r="F78" s="43" t="s">
        <v>164</v>
      </c>
      <c r="G78" s="43" t="s">
        <v>210</v>
      </c>
      <c r="H78" s="45">
        <v>0</v>
      </c>
      <c r="I78" s="45">
        <v>0</v>
      </c>
      <c r="J78" s="64"/>
      <c r="K78" s="25">
        <f>Table13478[[#This Row],[Valor de la Factura del Cliente]]*0.2</f>
        <v>0</v>
      </c>
      <c r="L78" s="25">
        <f>+Table13478[[#This Row],[Valor de la Factura del Cliente]]*0.05</f>
        <v>0</v>
      </c>
      <c r="M78" s="25">
        <v>0</v>
      </c>
      <c r="N78" s="45">
        <v>500</v>
      </c>
      <c r="O78" s="25">
        <v>0</v>
      </c>
      <c r="P78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Row],[Avance]]+P77</f>
        <v>-33710.287500000013</v>
      </c>
    </row>
    <row r="79" spans="2:16" x14ac:dyDescent="0.45">
      <c r="B79" s="47">
        <v>45876</v>
      </c>
      <c r="C79" s="43"/>
      <c r="D79" s="43"/>
      <c r="E79" s="43"/>
      <c r="F79" s="43" t="s">
        <v>8</v>
      </c>
      <c r="G79" s="43" t="s">
        <v>207</v>
      </c>
      <c r="H79" s="45">
        <v>0</v>
      </c>
      <c r="I79" s="45">
        <v>2.99</v>
      </c>
      <c r="J79" s="64"/>
      <c r="K79" s="25">
        <f>Table13478[[#This Row],[Valor de la Factura del Cliente]]*0.2</f>
        <v>0</v>
      </c>
      <c r="L79" s="25">
        <f>+Table13478[[#This Row],[Valor de la Factura del Cliente]]*0.05</f>
        <v>0</v>
      </c>
      <c r="M79" s="25">
        <v>0</v>
      </c>
      <c r="N79" s="45">
        <v>200</v>
      </c>
      <c r="O79" s="25">
        <v>0</v>
      </c>
      <c r="P79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Row],[Avance]]+P78</f>
        <v>-33913.277500000011</v>
      </c>
    </row>
    <row r="80" spans="2:16" ht="18.75" thickBot="1" x14ac:dyDescent="0.5">
      <c r="B80" s="47">
        <v>45887</v>
      </c>
      <c r="C80" s="43"/>
      <c r="D80" s="43"/>
      <c r="E80" s="43"/>
      <c r="F80" s="43" t="s">
        <v>8</v>
      </c>
      <c r="G80" s="43" t="s">
        <v>207</v>
      </c>
      <c r="H80" s="45">
        <v>0</v>
      </c>
      <c r="I80" s="45">
        <v>7.99</v>
      </c>
      <c r="J80" s="64"/>
      <c r="K80" s="25">
        <f>Table13478[[#This Row],[Valor de la Factura del Cliente]]*0.2</f>
        <v>0</v>
      </c>
      <c r="L80" s="25">
        <f>+Table13478[[#This Row],[Valor de la Factura del Cliente]]*0.05</f>
        <v>0</v>
      </c>
      <c r="M80" s="25">
        <v>0</v>
      </c>
      <c r="N80" s="45">
        <v>700</v>
      </c>
      <c r="O80" s="25">
        <v>0</v>
      </c>
      <c r="P80" s="26">
        <f>+Table13478[[#This Row],[Valor de la Factura del Cliente]]-Table13478[[#This Row],[Cargos Bancarios]]-Table13478[[#This Row],[20% Comisión]]-Table13478[[#This Row],[5% Legal]]-Table13478[[#This Row],[Retención de Impuestos]]-Table13478[[#This Row],[Pagado por MVPX]]+Table13478[[#This Row],[Avance]]+P79</f>
        <v>-34621.267500000009</v>
      </c>
    </row>
    <row r="81" spans="2:16" ht="18.75" thickBot="1" x14ac:dyDescent="0.5">
      <c r="B81" s="22"/>
      <c r="C81" s="23"/>
      <c r="D81" s="23"/>
      <c r="E81" s="23"/>
      <c r="F81" s="23"/>
      <c r="G81" s="34" t="s">
        <v>356</v>
      </c>
      <c r="H81" s="35">
        <f>SUBTOTAL(109,Table13478[Valor de la Factura del Cliente])</f>
        <v>269.22999999999996</v>
      </c>
      <c r="I81" s="35">
        <f>SUBTOTAL(109,Table13478[Cargos Bancarios])</f>
        <v>114.88999999999997</v>
      </c>
      <c r="J81" s="35"/>
      <c r="K81" s="35">
        <f>SUBTOTAL(109,Table13478[20% Comisión])</f>
        <v>53.845999999999997</v>
      </c>
      <c r="L81" s="35">
        <f>SUBTOTAL(109,Table13478[5% Legal])</f>
        <v>13.461499999999999</v>
      </c>
      <c r="M81" s="35">
        <f>SUBTOTAL(109,Table13478[Retención de Impuestos])</f>
        <v>0</v>
      </c>
      <c r="N81" s="35">
        <f>SUBTOTAL(109,Table13478[Pagado por MVPX])</f>
        <v>34708.300000000003</v>
      </c>
      <c r="O81" s="35">
        <f>SUBTOTAL(109,Table13478[Avance])</f>
        <v>0</v>
      </c>
      <c r="P81" s="36">
        <f>P80</f>
        <v>-34621.267500000009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ignoredErrors>
    <ignoredError sqref="P10:P81" calculatedColumn="1"/>
  </ignoredErrors>
  <legacyDrawingHF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F30C-A429-4C27-9570-09C477D320C4}">
  <sheetPr>
    <pageSetUpPr fitToPage="1"/>
  </sheetPr>
  <dimension ref="B1:P29"/>
  <sheetViews>
    <sheetView showGridLines="0" view="pageLayout" topLeftCell="D1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36.5703125" style="8" customWidth="1"/>
    <col min="7" max="7" width="47.140625" style="8" bestFit="1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26.25" thickBot="1" x14ac:dyDescent="0.5">
      <c r="H1" s="10"/>
      <c r="I1" s="10"/>
      <c r="J1" s="10"/>
      <c r="K1" s="10"/>
      <c r="L1" s="10"/>
      <c r="M1" s="10"/>
    </row>
    <row r="2" spans="2:16" ht="25.5" x14ac:dyDescent="0.45">
      <c r="B2" s="13" t="s">
        <v>352</v>
      </c>
      <c r="C2" s="14"/>
      <c r="D2" s="15"/>
      <c r="E2" s="50" t="s">
        <v>44</v>
      </c>
      <c r="F2" s="14"/>
      <c r="G2" s="16"/>
      <c r="H2" s="10"/>
      <c r="I2" s="10"/>
      <c r="J2" s="10"/>
      <c r="K2" s="10"/>
      <c r="L2" s="10"/>
      <c r="M2" s="10"/>
    </row>
    <row r="3" spans="2:16" ht="25.5" x14ac:dyDescent="0.45">
      <c r="B3" s="17" t="s">
        <v>353</v>
      </c>
      <c r="E3" s="51" t="s">
        <v>45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MIN(Table13479[Fecha])</f>
        <v>45064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MAX(Table13479[Fecha])</f>
        <v>45918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/>
      <c r="C9" s="24"/>
      <c r="D9" s="24"/>
      <c r="E9" s="24"/>
      <c r="F9" s="24" t="s">
        <v>358</v>
      </c>
      <c r="G9" s="24" t="s">
        <v>358</v>
      </c>
      <c r="H9" s="25">
        <v>7744.94</v>
      </c>
      <c r="I9" s="25">
        <v>0</v>
      </c>
      <c r="J9" s="25"/>
      <c r="K9" s="25">
        <f>Table13479[[#This Row],[Valor de la Factura del Cliente]]*0.2</f>
        <v>1548.9880000000001</v>
      </c>
      <c r="L9" s="25">
        <f>Table13479[[#This Row],[Valor de la Factura del Cliente]]*0.05</f>
        <v>387.24700000000001</v>
      </c>
      <c r="M9" s="25">
        <v>0</v>
      </c>
      <c r="N9" s="25">
        <v>0</v>
      </c>
      <c r="O9" s="25">
        <v>0</v>
      </c>
      <c r="P9" s="26">
        <f>+Table13479[[#This Row],[Valor de la Factura del Cliente]]-SUM(Table13479[[#This Row],[Cargos Bancarios]:[Avance]])</f>
        <v>5808.7049999999999</v>
      </c>
    </row>
    <row r="10" spans="2:16" s="12" customFormat="1" ht="18" customHeight="1" x14ac:dyDescent="0.25">
      <c r="B10" s="47"/>
      <c r="C10" s="27"/>
      <c r="D10" s="27"/>
      <c r="E10" s="27"/>
      <c r="F10" s="43" t="s">
        <v>359</v>
      </c>
      <c r="G10" s="27" t="s">
        <v>359</v>
      </c>
      <c r="H10" s="28">
        <v>90.54</v>
      </c>
      <c r="I10" s="25">
        <v>0</v>
      </c>
      <c r="J10" s="25"/>
      <c r="K10" s="25">
        <f>Table13479[[#This Row],[Valor de la Factura del Cliente]]*0.2</f>
        <v>18.108000000000001</v>
      </c>
      <c r="L10" s="25">
        <f>Table13479[[#This Row],[Valor de la Factura del Cliente]]*0.05</f>
        <v>4.5270000000000001</v>
      </c>
      <c r="M10" s="25">
        <v>0</v>
      </c>
      <c r="N10" s="25">
        <v>0</v>
      </c>
      <c r="O10" s="28">
        <v>0</v>
      </c>
      <c r="P10" s="26">
        <f>+Table13479[[#This Row],[Valor de la Factura del Cliente]]-SUM(Table13479[[#This Row],[Cargos Bancarios]:[Avance]])+P9</f>
        <v>5876.61</v>
      </c>
    </row>
    <row r="11" spans="2:16" s="12" customFormat="1" x14ac:dyDescent="0.25">
      <c r="B11" s="47">
        <v>45064</v>
      </c>
      <c r="C11" s="27"/>
      <c r="D11" s="27"/>
      <c r="E11" s="27"/>
      <c r="F11" s="27" t="s">
        <v>45</v>
      </c>
      <c r="G11" s="27" t="s">
        <v>102</v>
      </c>
      <c r="H11" s="28">
        <v>0</v>
      </c>
      <c r="I11" s="25">
        <v>0</v>
      </c>
      <c r="J11" s="25"/>
      <c r="K11" s="25">
        <f>Table13479[[#This Row],[Valor de la Factura del Cliente]]*0.2</f>
        <v>0</v>
      </c>
      <c r="L11" s="25">
        <f>Table13479[[#This Row],[Valor de la Factura del Cliente]]*0.05</f>
        <v>0</v>
      </c>
      <c r="M11" s="25">
        <v>0</v>
      </c>
      <c r="N11" s="25">
        <v>0</v>
      </c>
      <c r="O11" s="28">
        <v>1006.99</v>
      </c>
      <c r="P11" s="26">
        <f>+Table13479[[#This Row],[Valor de la Factura del Cliente]]-SUM(Table13479[[#This Row],[Cargos Bancarios]:[Avance]])+P10</f>
        <v>4869.62</v>
      </c>
    </row>
    <row r="12" spans="2:16" s="12" customFormat="1" x14ac:dyDescent="0.25">
      <c r="B12" s="47">
        <v>45287</v>
      </c>
      <c r="C12" s="27"/>
      <c r="D12" s="27"/>
      <c r="E12" s="27"/>
      <c r="F12" s="27" t="s">
        <v>45</v>
      </c>
      <c r="G12" s="27" t="s">
        <v>102</v>
      </c>
      <c r="H12" s="28">
        <v>0</v>
      </c>
      <c r="I12" s="25">
        <v>0</v>
      </c>
      <c r="J12" s="25"/>
      <c r="K12" s="25">
        <f>Table13479[[#This Row],[Valor de la Factura del Cliente]]*0.2</f>
        <v>0</v>
      </c>
      <c r="L12" s="25">
        <f>Table13479[[#This Row],[Valor de la Factura del Cliente]]*0.05</f>
        <v>0</v>
      </c>
      <c r="M12" s="25">
        <v>0</v>
      </c>
      <c r="N12" s="25">
        <v>0</v>
      </c>
      <c r="O12" s="28">
        <v>501.99</v>
      </c>
      <c r="P12" s="26">
        <f>+Table13479[[#This Row],[Valor de la Factura del Cliente]]-SUM(Table13479[[#This Row],[Cargos Bancarios]:[Avance]])+P11</f>
        <v>4367.63</v>
      </c>
    </row>
    <row r="13" spans="2:16" s="12" customFormat="1" x14ac:dyDescent="0.25">
      <c r="B13" s="47">
        <v>45296</v>
      </c>
      <c r="C13" s="27"/>
      <c r="D13" s="27"/>
      <c r="E13" s="27"/>
      <c r="F13" s="27" t="s">
        <v>45</v>
      </c>
      <c r="G13" s="27" t="s">
        <v>102</v>
      </c>
      <c r="H13" s="28">
        <v>0</v>
      </c>
      <c r="I13" s="25">
        <v>0</v>
      </c>
      <c r="J13" s="25"/>
      <c r="K13" s="25">
        <f>Table13479[[#This Row],[Valor de la Factura del Cliente]]*0.2</f>
        <v>0</v>
      </c>
      <c r="L13" s="25">
        <f>Table13479[[#This Row],[Valor de la Factura del Cliente]]*0.05</f>
        <v>0</v>
      </c>
      <c r="M13" s="25">
        <v>0</v>
      </c>
      <c r="N13" s="25">
        <v>0</v>
      </c>
      <c r="O13" s="28">
        <v>1501.99</v>
      </c>
      <c r="P13" s="26">
        <f>+Table13479[[#This Row],[Valor de la Factura del Cliente]]-SUM(Table13479[[#This Row],[Cargos Bancarios]:[Avance]])+P12</f>
        <v>2865.6400000000003</v>
      </c>
    </row>
    <row r="14" spans="2:16" s="12" customFormat="1" x14ac:dyDescent="0.25">
      <c r="B14" s="47">
        <v>45297</v>
      </c>
      <c r="C14" s="27"/>
      <c r="D14" s="27"/>
      <c r="E14" s="27"/>
      <c r="F14" s="27" t="s">
        <v>45</v>
      </c>
      <c r="G14" s="27" t="s">
        <v>102</v>
      </c>
      <c r="H14" s="28">
        <v>0</v>
      </c>
      <c r="I14" s="25">
        <v>0</v>
      </c>
      <c r="J14" s="25"/>
      <c r="K14" s="25">
        <f>Table13479[[#This Row],[Valor de la Factura del Cliente]]*0.2</f>
        <v>0</v>
      </c>
      <c r="L14" s="25">
        <f>Table13479[[#This Row],[Valor de la Factura del Cliente]]*0.05</f>
        <v>0</v>
      </c>
      <c r="M14" s="25">
        <v>0</v>
      </c>
      <c r="N14" s="25">
        <v>0</v>
      </c>
      <c r="O14" s="28">
        <v>501.99</v>
      </c>
      <c r="P14" s="26">
        <f>+Table13479[[#This Row],[Valor de la Factura del Cliente]]-SUM(Table13479[[#This Row],[Cargos Bancarios]:[Avance]])+P13</f>
        <v>2363.6500000000005</v>
      </c>
    </row>
    <row r="15" spans="2:16" s="12" customFormat="1" x14ac:dyDescent="0.25">
      <c r="B15" s="47">
        <v>45354</v>
      </c>
      <c r="C15" s="27"/>
      <c r="D15" s="27"/>
      <c r="E15" s="27"/>
      <c r="F15" s="27" t="s">
        <v>45</v>
      </c>
      <c r="G15" s="27" t="s">
        <v>102</v>
      </c>
      <c r="H15" s="28">
        <v>0</v>
      </c>
      <c r="I15" s="25">
        <v>0</v>
      </c>
      <c r="J15" s="25"/>
      <c r="K15" s="25">
        <f>Table13479[[#This Row],[Valor de la Factura del Cliente]]*0.2</f>
        <v>0</v>
      </c>
      <c r="L15" s="25">
        <f>Table13479[[#This Row],[Valor de la Factura del Cliente]]*0.05</f>
        <v>0</v>
      </c>
      <c r="M15" s="25">
        <v>0</v>
      </c>
      <c r="N15" s="25">
        <v>0</v>
      </c>
      <c r="O15" s="28">
        <v>1501.99</v>
      </c>
      <c r="P15" s="26">
        <f>+Table13479[[#This Row],[Valor de la Factura del Cliente]]-SUM(Table13479[[#This Row],[Cargos Bancarios]:[Avance]])+P14</f>
        <v>861.66000000000054</v>
      </c>
    </row>
    <row r="16" spans="2:16" s="12" customFormat="1" x14ac:dyDescent="0.25">
      <c r="B16" s="47">
        <v>45387</v>
      </c>
      <c r="C16" s="27"/>
      <c r="D16" s="27"/>
      <c r="E16" s="27"/>
      <c r="F16" s="27" t="s">
        <v>45</v>
      </c>
      <c r="G16" s="27" t="s">
        <v>363</v>
      </c>
      <c r="H16" s="28">
        <v>20000</v>
      </c>
      <c r="I16" s="25">
        <v>0</v>
      </c>
      <c r="J16" s="25"/>
      <c r="K16" s="25">
        <f>Table13479[[#This Row],[Valor de la Factura del Cliente]]*0.2</f>
        <v>4000</v>
      </c>
      <c r="L16" s="25">
        <f>Table13479[[#This Row],[Valor de la Factura del Cliente]]*0.05</f>
        <v>1000</v>
      </c>
      <c r="M16" s="25">
        <v>0</v>
      </c>
      <c r="N16" s="25">
        <v>0</v>
      </c>
      <c r="O16" s="28">
        <v>0</v>
      </c>
      <c r="P16" s="26">
        <f>+Table13479[[#This Row],[Valor de la Factura del Cliente]]-SUM(Table13479[[#This Row],[Cargos Bancarios]:[Avance]])+P15</f>
        <v>15861.66</v>
      </c>
    </row>
    <row r="17" spans="2:16" s="12" customFormat="1" ht="18" customHeight="1" x14ac:dyDescent="0.25">
      <c r="B17" s="47">
        <v>45388</v>
      </c>
      <c r="C17" s="27"/>
      <c r="D17" s="27"/>
      <c r="E17" s="27"/>
      <c r="F17" s="27" t="s">
        <v>360</v>
      </c>
      <c r="G17" s="27" t="s">
        <v>364</v>
      </c>
      <c r="H17" s="28">
        <v>0</v>
      </c>
      <c r="I17" s="25">
        <v>0</v>
      </c>
      <c r="J17" s="25"/>
      <c r="K17" s="25">
        <f>Table13479[[#This Row],[Valor de la Factura del Cliente]]*0.2</f>
        <v>0</v>
      </c>
      <c r="L17" s="25">
        <f>Table13479[[#This Row],[Valor de la Factura del Cliente]]*0.05</f>
        <v>0</v>
      </c>
      <c r="M17" s="25">
        <v>0</v>
      </c>
      <c r="N17" s="25">
        <v>0</v>
      </c>
      <c r="O17" s="28">
        <v>3000</v>
      </c>
      <c r="P17" s="26">
        <f>+Table13479[[#This Row],[Valor de la Factura del Cliente]]-SUM(Table13479[[#This Row],[Cargos Bancarios]:[Avance]])+P16</f>
        <v>12861.66</v>
      </c>
    </row>
    <row r="18" spans="2:16" s="12" customFormat="1" ht="18" customHeight="1" x14ac:dyDescent="0.25">
      <c r="B18" s="47">
        <v>45388</v>
      </c>
      <c r="C18" s="27"/>
      <c r="D18" s="27"/>
      <c r="E18" s="27"/>
      <c r="F18" s="27" t="s">
        <v>361</v>
      </c>
      <c r="G18" s="27" t="s">
        <v>364</v>
      </c>
      <c r="H18" s="28"/>
      <c r="I18" s="25">
        <v>0</v>
      </c>
      <c r="J18" s="25"/>
      <c r="K18" s="25">
        <f>Table13479[[#This Row],[Valor de la Factura del Cliente]]*0.2</f>
        <v>0</v>
      </c>
      <c r="L18" s="25">
        <f>Table13479[[#This Row],[Valor de la Factura del Cliente]]*0.05</f>
        <v>0</v>
      </c>
      <c r="M18" s="25">
        <v>0</v>
      </c>
      <c r="N18" s="25">
        <v>0</v>
      </c>
      <c r="O18" s="28">
        <v>6000</v>
      </c>
      <c r="P18" s="26">
        <f>+Table13479[[#This Row],[Valor de la Factura del Cliente]]-SUM(Table13479[[#This Row],[Cargos Bancarios]:[Avance]])+P17</f>
        <v>6861.66</v>
      </c>
    </row>
    <row r="19" spans="2:16" s="12" customFormat="1" x14ac:dyDescent="0.25">
      <c r="B19" s="47">
        <v>45388</v>
      </c>
      <c r="C19" s="27"/>
      <c r="D19" s="27"/>
      <c r="E19" s="27"/>
      <c r="F19" s="27"/>
      <c r="G19" s="27" t="s">
        <v>365</v>
      </c>
      <c r="H19" s="28">
        <v>4000</v>
      </c>
      <c r="I19" s="25">
        <v>0</v>
      </c>
      <c r="J19" s="25"/>
      <c r="K19" s="25">
        <f>Table13479[[#This Row],[Valor de la Factura del Cliente]]*0.2</f>
        <v>800</v>
      </c>
      <c r="L19" s="25">
        <f>Table13479[[#This Row],[Valor de la Factura del Cliente]]*0.05</f>
        <v>200</v>
      </c>
      <c r="M19" s="25">
        <v>0</v>
      </c>
      <c r="N19" s="25">
        <v>0</v>
      </c>
      <c r="O19" s="28">
        <v>0</v>
      </c>
      <c r="P19" s="26">
        <f>+Table13479[[#This Row],[Valor de la Factura del Cliente]]-SUM(Table13479[[#This Row],[Cargos Bancarios]:[Avance]])+P18</f>
        <v>9861.66</v>
      </c>
    </row>
    <row r="20" spans="2:16" s="12" customFormat="1" x14ac:dyDescent="0.25">
      <c r="B20" s="47">
        <v>45388</v>
      </c>
      <c r="C20" s="27"/>
      <c r="D20" s="27"/>
      <c r="E20" s="27"/>
      <c r="F20" s="27" t="s">
        <v>361</v>
      </c>
      <c r="G20" s="27" t="s">
        <v>366</v>
      </c>
      <c r="H20" s="28">
        <v>0</v>
      </c>
      <c r="I20" s="25">
        <v>0</v>
      </c>
      <c r="J20" s="25"/>
      <c r="K20" s="25">
        <f>Table13479[[#This Row],[Valor de la Factura del Cliente]]*0.2</f>
        <v>0</v>
      </c>
      <c r="L20" s="25">
        <f>Table13479[[#This Row],[Valor de la Factura del Cliente]]*0.05</f>
        <v>0</v>
      </c>
      <c r="M20" s="25">
        <v>0</v>
      </c>
      <c r="N20" s="25">
        <v>0</v>
      </c>
      <c r="O20" s="28">
        <v>1100</v>
      </c>
      <c r="P20" s="26">
        <f>+Table13479[[#This Row],[Valor de la Factura del Cliente]]-SUM(Table13479[[#This Row],[Cargos Bancarios]:[Avance]])+P19</f>
        <v>8761.66</v>
      </c>
    </row>
    <row r="21" spans="2:16" s="12" customFormat="1" x14ac:dyDescent="0.25">
      <c r="B21" s="47">
        <v>45388</v>
      </c>
      <c r="C21" s="27"/>
      <c r="D21" s="27"/>
      <c r="E21" s="27"/>
      <c r="F21" s="27" t="s">
        <v>362</v>
      </c>
      <c r="G21" s="27" t="s">
        <v>366</v>
      </c>
      <c r="H21" s="28">
        <v>0</v>
      </c>
      <c r="I21" s="25">
        <v>0</v>
      </c>
      <c r="J21" s="25"/>
      <c r="K21" s="25">
        <f>Table13479[[#This Row],[Valor de la Factura del Cliente]]*0.2</f>
        <v>0</v>
      </c>
      <c r="L21" s="25">
        <f>Table13479[[#This Row],[Valor de la Factura del Cliente]]*0.05</f>
        <v>0</v>
      </c>
      <c r="M21" s="25">
        <v>0</v>
      </c>
      <c r="N21" s="25">
        <v>0</v>
      </c>
      <c r="O21" s="28">
        <v>800</v>
      </c>
      <c r="P21" s="26">
        <f>+Table13479[[#This Row],[Valor de la Factura del Cliente]]-SUM(Table13479[[#This Row],[Cargos Bancarios]:[Avance]])+P20</f>
        <v>7961.66</v>
      </c>
    </row>
    <row r="22" spans="2:16" s="12" customFormat="1" x14ac:dyDescent="0.25">
      <c r="B22" s="47">
        <v>45407</v>
      </c>
      <c r="C22" s="27"/>
      <c r="D22" s="27"/>
      <c r="E22" s="27"/>
      <c r="F22" s="27" t="s">
        <v>44</v>
      </c>
      <c r="G22" s="27" t="s">
        <v>367</v>
      </c>
      <c r="H22" s="28">
        <v>0</v>
      </c>
      <c r="I22" s="25">
        <v>0</v>
      </c>
      <c r="J22" s="25"/>
      <c r="K22" s="25">
        <f>Table13479[[#This Row],[Valor de la Factura del Cliente]]*0.2</f>
        <v>0</v>
      </c>
      <c r="L22" s="25">
        <f>Table13479[[#This Row],[Valor de la Factura del Cliente]]*0.05</f>
        <v>0</v>
      </c>
      <c r="M22" s="25">
        <v>0</v>
      </c>
      <c r="N22" s="25">
        <v>0</v>
      </c>
      <c r="O22" s="28">
        <v>1501.99</v>
      </c>
      <c r="P22" s="26">
        <f>+Table13479[[#This Row],[Valor de la Factura del Cliente]]-SUM(Table13479[[#This Row],[Cargos Bancarios]:[Avance]])+P21</f>
        <v>6459.67</v>
      </c>
    </row>
    <row r="23" spans="2:16" s="12" customFormat="1" x14ac:dyDescent="0.25">
      <c r="B23" s="47">
        <v>45408</v>
      </c>
      <c r="C23" s="27"/>
      <c r="D23" s="27"/>
      <c r="E23" s="27"/>
      <c r="F23" s="27" t="s">
        <v>44</v>
      </c>
      <c r="G23" s="27" t="s">
        <v>102</v>
      </c>
      <c r="H23" s="28">
        <v>0</v>
      </c>
      <c r="I23" s="25">
        <v>0</v>
      </c>
      <c r="J23" s="25"/>
      <c r="K23" s="25">
        <f>Table13479[[#This Row],[Valor de la Factura del Cliente]]*0.2</f>
        <v>0</v>
      </c>
      <c r="L23" s="25">
        <f>Table13479[[#This Row],[Valor de la Factura del Cliente]]*0.05</f>
        <v>0</v>
      </c>
      <c r="M23" s="25">
        <v>0</v>
      </c>
      <c r="N23" s="25">
        <v>0</v>
      </c>
      <c r="O23" s="28">
        <v>2167.15</v>
      </c>
      <c r="P23" s="26">
        <f>+Table13479[[#This Row],[Valor de la Factura del Cliente]]-SUM(Table13479[[#This Row],[Cargos Bancarios]:[Avance]])+P22</f>
        <v>4292.5200000000004</v>
      </c>
    </row>
    <row r="24" spans="2:16" s="12" customFormat="1" x14ac:dyDescent="0.25">
      <c r="B24" s="47">
        <v>45589</v>
      </c>
      <c r="C24" s="27"/>
      <c r="D24" s="27"/>
      <c r="E24" s="27"/>
      <c r="F24" s="27" t="s">
        <v>44</v>
      </c>
      <c r="G24" s="27" t="s">
        <v>102</v>
      </c>
      <c r="H24" s="28">
        <v>0</v>
      </c>
      <c r="I24" s="25">
        <v>0</v>
      </c>
      <c r="J24" s="25"/>
      <c r="K24" s="25">
        <f>Table13479[[#This Row],[Valor de la Factura del Cliente]]*0.2</f>
        <v>0</v>
      </c>
      <c r="L24" s="25">
        <f>Table13479[[#This Row],[Valor de la Factura del Cliente]]*0.05</f>
        <v>0</v>
      </c>
      <c r="M24" s="25">
        <v>0</v>
      </c>
      <c r="N24" s="25">
        <v>0</v>
      </c>
      <c r="O24" s="28">
        <v>602.11</v>
      </c>
      <c r="P24" s="26">
        <f>+Table13479[[#This Row],[Valor de la Factura del Cliente]]-SUM(Table13479[[#This Row],[Cargos Bancarios]:[Avance]])+P23</f>
        <v>3690.4100000000003</v>
      </c>
    </row>
    <row r="25" spans="2:16" s="12" customFormat="1" x14ac:dyDescent="0.25">
      <c r="B25" s="47">
        <v>45669</v>
      </c>
      <c r="C25" s="27"/>
      <c r="D25" s="27"/>
      <c r="E25" s="27"/>
      <c r="F25" s="27" t="s">
        <v>44</v>
      </c>
      <c r="G25" s="27" t="s">
        <v>102</v>
      </c>
      <c r="H25" s="28">
        <v>0</v>
      </c>
      <c r="I25" s="25">
        <v>0</v>
      </c>
      <c r="J25" s="25"/>
      <c r="K25" s="25">
        <f>Table13479[[#This Row],[Valor de la Factura del Cliente]]*0.2</f>
        <v>0</v>
      </c>
      <c r="L25" s="25">
        <f>Table13479[[#This Row],[Valor de la Factura del Cliente]]*0.05</f>
        <v>0</v>
      </c>
      <c r="M25" s="25">
        <v>0</v>
      </c>
      <c r="N25" s="25">
        <v>0</v>
      </c>
      <c r="O25" s="28">
        <v>501.99</v>
      </c>
      <c r="P25" s="26">
        <f>+Table13479[[#This Row],[Valor de la Factura del Cliente]]-SUM(Table13479[[#This Row],[Cargos Bancarios]:[Avance]])+P24</f>
        <v>3188.42</v>
      </c>
    </row>
    <row r="26" spans="2:16" s="12" customFormat="1" x14ac:dyDescent="0.25">
      <c r="B26" s="47">
        <v>45741</v>
      </c>
      <c r="C26" s="27"/>
      <c r="D26" s="27"/>
      <c r="E26" s="27"/>
      <c r="F26" s="27" t="s">
        <v>44</v>
      </c>
      <c r="G26" s="27" t="s">
        <v>102</v>
      </c>
      <c r="H26" s="28">
        <v>0</v>
      </c>
      <c r="I26" s="25">
        <v>0</v>
      </c>
      <c r="J26" s="25"/>
      <c r="K26" s="25">
        <f>Table13479[[#This Row],[Valor de la Factura del Cliente]]*0.2</f>
        <v>0</v>
      </c>
      <c r="L26" s="25">
        <f>Table13479[[#This Row],[Valor de la Factura del Cliente]]*0.05</f>
        <v>0</v>
      </c>
      <c r="M26" s="25">
        <v>0</v>
      </c>
      <c r="N26" s="25">
        <v>0</v>
      </c>
      <c r="O26" s="28">
        <v>876.61</v>
      </c>
      <c r="P26" s="26">
        <f>+Table13479[[#This Row],[Valor de la Factura del Cliente]]-SUM(Table13479[[#This Row],[Cargos Bancarios]:[Avance]])+P25</f>
        <v>2311.81</v>
      </c>
    </row>
    <row r="27" spans="2:16" s="12" customFormat="1" x14ac:dyDescent="0.25">
      <c r="B27" s="47">
        <v>45834</v>
      </c>
      <c r="C27" s="27"/>
      <c r="D27" s="27"/>
      <c r="E27" s="27"/>
      <c r="F27" s="27" t="s">
        <v>44</v>
      </c>
      <c r="G27" s="27" t="s">
        <v>102</v>
      </c>
      <c r="H27" s="28">
        <v>0</v>
      </c>
      <c r="I27" s="25">
        <v>0</v>
      </c>
      <c r="J27" s="25"/>
      <c r="K27" s="25">
        <f>Table13479[[#This Row],[Valor de la Factura del Cliente]]*0.2</f>
        <v>0</v>
      </c>
      <c r="L27" s="25">
        <f>Table13479[[#This Row],[Valor de la Factura del Cliente]]*0.05</f>
        <v>0</v>
      </c>
      <c r="M27" s="25">
        <v>0</v>
      </c>
      <c r="N27" s="25">
        <v>0</v>
      </c>
      <c r="O27" s="28">
        <v>508.75</v>
      </c>
      <c r="P27" s="26">
        <f>+Table13479[[#This Row],[Valor de la Factura del Cliente]]-SUM(Table13479[[#This Row],[Cargos Bancarios]:[Avance]])+P26</f>
        <v>1803.06</v>
      </c>
    </row>
    <row r="28" spans="2:16" s="12" customFormat="1" ht="18.75" thickBot="1" x14ac:dyDescent="0.3">
      <c r="B28" s="47">
        <v>45918</v>
      </c>
      <c r="C28" s="27"/>
      <c r="D28" s="27"/>
      <c r="E28" s="27"/>
      <c r="F28" s="27" t="s">
        <v>44</v>
      </c>
      <c r="G28" s="27" t="s">
        <v>368</v>
      </c>
      <c r="H28" s="28">
        <v>0</v>
      </c>
      <c r="I28" s="25">
        <v>0</v>
      </c>
      <c r="J28" s="25"/>
      <c r="K28" s="25">
        <f>Table13479[[#This Row],[Valor de la Factura del Cliente]]*0.2</f>
        <v>0</v>
      </c>
      <c r="L28" s="25">
        <f>Table13479[[#This Row],[Valor de la Factura del Cliente]]*0.05</f>
        <v>0</v>
      </c>
      <c r="M28" s="25">
        <v>0</v>
      </c>
      <c r="N28" s="25">
        <v>0</v>
      </c>
      <c r="O28" s="28">
        <v>1807</v>
      </c>
      <c r="P28" s="26">
        <f>+Table13479[[#This Row],[Valor de la Factura del Cliente]]-SUM(Table13479[[#This Row],[Cargos Bancarios]:[Avance]])+P27</f>
        <v>-3.9400000000000546</v>
      </c>
    </row>
    <row r="29" spans="2:16" ht="18.75" thickBot="1" x14ac:dyDescent="0.5">
      <c r="B29" s="22"/>
      <c r="C29" s="23"/>
      <c r="D29" s="23"/>
      <c r="E29" s="23"/>
      <c r="F29" s="23"/>
      <c r="G29" s="34" t="s">
        <v>356</v>
      </c>
      <c r="H29" s="35">
        <f>SUBTOTAL(109,Table13479[Valor de la Factura del Cliente])</f>
        <v>31835.48</v>
      </c>
      <c r="I29" s="35">
        <f>SUBTOTAL(109,Table13479[Cargos Bancarios])</f>
        <v>0</v>
      </c>
      <c r="J29" s="35"/>
      <c r="K29" s="35">
        <f>SUBTOTAL(109,Table13479[20% Comisión])</f>
        <v>6367.0959999999995</v>
      </c>
      <c r="L29" s="35">
        <f>SUBTOTAL(109,Table13479[5% Legal])</f>
        <v>1591.7739999999999</v>
      </c>
      <c r="M29" s="35">
        <f>SUBTOTAL(109,Table13479[Retención de Impuestos])</f>
        <v>0</v>
      </c>
      <c r="N29" s="35">
        <f>SUBTOTAL(109,Table13479[Pagado por MVPX])</f>
        <v>0</v>
      </c>
      <c r="O29" s="35">
        <f>SUBTOTAL(109,Table13479[Avance])</f>
        <v>23880.550000000007</v>
      </c>
      <c r="P29" s="36">
        <f>+P28</f>
        <v>-3.9400000000000546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55B8-87ED-47DB-B5A4-8538035E5FC9}">
  <sheetPr>
    <pageSetUpPr fitToPage="1"/>
  </sheetPr>
  <dimension ref="B1:P74"/>
  <sheetViews>
    <sheetView showGridLines="0" view="pageLayout" topLeftCell="C1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441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51" t="s">
        <v>442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MIN(Table134711[Fecha])</f>
        <v>43944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MAX(Table134711[Fecha])</f>
        <v>45184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36" x14ac:dyDescent="0.25">
      <c r="B9" s="46">
        <v>43944</v>
      </c>
      <c r="C9" s="24"/>
      <c r="D9" s="24" t="s">
        <v>369</v>
      </c>
      <c r="E9" s="24"/>
      <c r="F9" s="24"/>
      <c r="G9" s="24" t="s">
        <v>370</v>
      </c>
      <c r="H9" s="25"/>
      <c r="I9" s="25"/>
      <c r="J9" s="25"/>
      <c r="K9" s="25"/>
      <c r="L9" s="25"/>
      <c r="M9" s="25"/>
      <c r="N9" s="25">
        <v>7500</v>
      </c>
      <c r="O9" s="25"/>
      <c r="P9" s="26">
        <f>+Table134711[[#This Row],[Pagado por MVPX]]+Table134711[[#This Row],[Avance]]</f>
        <v>7500</v>
      </c>
    </row>
    <row r="10" spans="2:16" s="12" customFormat="1" ht="36" x14ac:dyDescent="0.25">
      <c r="B10" s="47">
        <v>43965</v>
      </c>
      <c r="C10" s="27" t="s">
        <v>371</v>
      </c>
      <c r="D10" s="27" t="s">
        <v>372</v>
      </c>
      <c r="E10" s="27"/>
      <c r="F10" s="27" t="s">
        <v>373</v>
      </c>
      <c r="G10" s="27" t="s">
        <v>374</v>
      </c>
      <c r="H10" s="28">
        <v>5000</v>
      </c>
      <c r="I10" s="28">
        <v>-15</v>
      </c>
      <c r="J10" s="28"/>
      <c r="K10" s="28">
        <f>Table134711[[#This Row],[Valor de la Factura del Cliente]]*-0.2</f>
        <v>-1000</v>
      </c>
      <c r="L10" s="28">
        <f>+Table134711[[#This Row],[Valor de la Factura del Cliente]]*-0.05</f>
        <v>-250</v>
      </c>
      <c r="M10" s="28"/>
      <c r="N10" s="28">
        <v>3735</v>
      </c>
      <c r="O10" s="28"/>
      <c r="P10" s="29">
        <f>+Table134711[[#This Row],[Pagado por MVPX]]+Table134711[[#This Row],[Avance]]+P9</f>
        <v>11235</v>
      </c>
    </row>
    <row r="11" spans="2:16" s="12" customFormat="1" ht="36" x14ac:dyDescent="0.25">
      <c r="B11" s="47">
        <v>44038</v>
      </c>
      <c r="C11" s="27"/>
      <c r="D11" s="27" t="s">
        <v>375</v>
      </c>
      <c r="E11" s="27"/>
      <c r="F11" s="27"/>
      <c r="G11" s="27" t="s">
        <v>376</v>
      </c>
      <c r="H11" s="28"/>
      <c r="I11" s="28"/>
      <c r="J11" s="28"/>
      <c r="K11" s="28"/>
      <c r="L11" s="28"/>
      <c r="M11" s="28"/>
      <c r="N11" s="28"/>
      <c r="O11" s="28">
        <v>-200</v>
      </c>
      <c r="P11" s="29">
        <f>+Table134711[[#This Row],[Pagado por MVPX]]+Table134711[[#This Row],[Avance]]+P10</f>
        <v>11035</v>
      </c>
    </row>
    <row r="12" spans="2:16" s="12" customFormat="1" ht="36" x14ac:dyDescent="0.25">
      <c r="B12" s="47">
        <v>44029</v>
      </c>
      <c r="C12" s="27"/>
      <c r="D12" s="27" t="s">
        <v>377</v>
      </c>
      <c r="E12" s="27"/>
      <c r="F12" s="27"/>
      <c r="G12" s="27" t="s">
        <v>376</v>
      </c>
      <c r="H12" s="28"/>
      <c r="I12" s="28"/>
      <c r="J12" s="28"/>
      <c r="K12" s="28"/>
      <c r="L12" s="28"/>
      <c r="M12" s="28"/>
      <c r="N12" s="28"/>
      <c r="O12" s="28">
        <v>-500</v>
      </c>
      <c r="P12" s="29">
        <f>+Table134711[[#This Row],[Pagado por MVPX]]+Table134711[[#This Row],[Avance]]+P11</f>
        <v>10535</v>
      </c>
    </row>
    <row r="13" spans="2:16" s="12" customFormat="1" x14ac:dyDescent="0.25">
      <c r="B13" s="47">
        <v>44053</v>
      </c>
      <c r="C13" s="27"/>
      <c r="D13" s="27"/>
      <c r="E13" s="27" t="s">
        <v>378</v>
      </c>
      <c r="F13" s="27"/>
      <c r="G13" s="27" t="s">
        <v>379</v>
      </c>
      <c r="H13" s="28"/>
      <c r="I13" s="28"/>
      <c r="J13" s="28"/>
      <c r="K13" s="28"/>
      <c r="L13" s="28"/>
      <c r="M13" s="28"/>
      <c r="N13" s="28"/>
      <c r="O13" s="28">
        <v>-1500</v>
      </c>
      <c r="P13" s="29">
        <f>+Table134711[[#This Row],[Pagado por MVPX]]+Table134711[[#This Row],[Avance]]+P12</f>
        <v>9035</v>
      </c>
    </row>
    <row r="14" spans="2:16" s="12" customFormat="1" ht="36" x14ac:dyDescent="0.25">
      <c r="B14" s="47">
        <v>44029</v>
      </c>
      <c r="C14" s="27"/>
      <c r="D14" s="27"/>
      <c r="E14" s="27" t="s">
        <v>380</v>
      </c>
      <c r="F14" s="27" t="s">
        <v>381</v>
      </c>
      <c r="G14" s="27" t="s">
        <v>382</v>
      </c>
      <c r="H14" s="28"/>
      <c r="I14" s="28"/>
      <c r="J14" s="28"/>
      <c r="K14" s="28"/>
      <c r="L14" s="28"/>
      <c r="M14" s="28"/>
      <c r="N14" s="28"/>
      <c r="O14" s="28">
        <v>-100</v>
      </c>
      <c r="P14" s="29">
        <f>+Table134711[[#This Row],[Pagado por MVPX]]+Table134711[[#This Row],[Avance]]+P13</f>
        <v>8935</v>
      </c>
    </row>
    <row r="15" spans="2:16" s="12" customFormat="1" ht="36" x14ac:dyDescent="0.25">
      <c r="B15" s="47">
        <v>44102</v>
      </c>
      <c r="C15" s="27"/>
      <c r="D15" s="27"/>
      <c r="E15" s="27" t="s">
        <v>378</v>
      </c>
      <c r="F15" s="27" t="s">
        <v>381</v>
      </c>
      <c r="G15" s="27" t="s">
        <v>383</v>
      </c>
      <c r="H15" s="28"/>
      <c r="I15" s="28"/>
      <c r="J15" s="28"/>
      <c r="K15" s="28"/>
      <c r="L15" s="28"/>
      <c r="M15" s="28"/>
      <c r="N15" s="28"/>
      <c r="O15" s="28">
        <v>-250</v>
      </c>
      <c r="P15" s="29">
        <f>+Table134711[[#This Row],[Pagado por MVPX]]+Table134711[[#This Row],[Avance]]+P14</f>
        <v>8685</v>
      </c>
    </row>
    <row r="16" spans="2:16" s="12" customFormat="1" ht="54" x14ac:dyDescent="0.25">
      <c r="B16" s="47">
        <v>44048</v>
      </c>
      <c r="C16" s="27"/>
      <c r="D16" s="27" t="s">
        <v>384</v>
      </c>
      <c r="E16" s="27"/>
      <c r="F16" s="27" t="s">
        <v>381</v>
      </c>
      <c r="G16" s="27" t="s">
        <v>385</v>
      </c>
      <c r="H16" s="28"/>
      <c r="I16" s="28"/>
      <c r="J16" s="28"/>
      <c r="K16" s="28"/>
      <c r="L16" s="28"/>
      <c r="M16" s="28"/>
      <c r="N16" s="28"/>
      <c r="O16" s="28">
        <v>-193.15</v>
      </c>
      <c r="P16" s="29">
        <f>+Table134711[[#This Row],[Pagado por MVPX]]+Table134711[[#This Row],[Avance]]+P15</f>
        <v>8491.85</v>
      </c>
    </row>
    <row r="17" spans="2:16" s="12" customFormat="1" ht="36" x14ac:dyDescent="0.25">
      <c r="B17" s="47">
        <v>44050</v>
      </c>
      <c r="C17" s="27"/>
      <c r="D17" s="27" t="s">
        <v>386</v>
      </c>
      <c r="E17" s="27"/>
      <c r="F17" s="27" t="s">
        <v>381</v>
      </c>
      <c r="G17" s="27" t="s">
        <v>387</v>
      </c>
      <c r="H17" s="28"/>
      <c r="I17" s="28"/>
      <c r="J17" s="28"/>
      <c r="K17" s="28"/>
      <c r="L17" s="28"/>
      <c r="M17" s="28"/>
      <c r="N17" s="28"/>
      <c r="O17" s="28">
        <v>-200</v>
      </c>
      <c r="P17" s="29">
        <f>+Table134711[[#This Row],[Pagado por MVPX]]+Table134711[[#This Row],[Avance]]+P16</f>
        <v>8291.85</v>
      </c>
    </row>
    <row r="18" spans="2:16" s="12" customFormat="1" ht="54" x14ac:dyDescent="0.25">
      <c r="B18" s="47">
        <v>44062</v>
      </c>
      <c r="C18" s="27"/>
      <c r="D18" s="27" t="s">
        <v>388</v>
      </c>
      <c r="E18" s="27"/>
      <c r="F18" s="27" t="s">
        <v>381</v>
      </c>
      <c r="G18" s="27" t="s">
        <v>385</v>
      </c>
      <c r="H18" s="28"/>
      <c r="I18" s="28"/>
      <c r="J18" s="28"/>
      <c r="K18" s="28"/>
      <c r="L18" s="28"/>
      <c r="M18" s="28"/>
      <c r="N18" s="28"/>
      <c r="O18" s="28">
        <v>-223.12</v>
      </c>
      <c r="P18" s="29">
        <f>+Table134711[[#This Row],[Pagado por MVPX]]+Table134711[[#This Row],[Avance]]+P17</f>
        <v>8068.7300000000005</v>
      </c>
    </row>
    <row r="19" spans="2:16" s="12" customFormat="1" ht="36" x14ac:dyDescent="0.25">
      <c r="B19" s="47">
        <v>44082</v>
      </c>
      <c r="C19" s="27"/>
      <c r="D19" s="27" t="s">
        <v>389</v>
      </c>
      <c r="E19" s="27"/>
      <c r="F19" s="27" t="s">
        <v>381</v>
      </c>
      <c r="G19" s="27" t="s">
        <v>390</v>
      </c>
      <c r="H19" s="28"/>
      <c r="I19" s="28"/>
      <c r="J19" s="28"/>
      <c r="K19" s="28"/>
      <c r="L19" s="28"/>
      <c r="M19" s="28"/>
      <c r="N19" s="28"/>
      <c r="O19" s="28">
        <v>-249</v>
      </c>
      <c r="P19" s="29">
        <f>+Table134711[[#This Row],[Pagado por MVPX]]+Table134711[[#This Row],[Avance]]+P18</f>
        <v>7819.7300000000005</v>
      </c>
    </row>
    <row r="20" spans="2:16" s="12" customFormat="1" ht="36" x14ac:dyDescent="0.25">
      <c r="B20" s="47">
        <v>44102</v>
      </c>
      <c r="C20" s="27"/>
      <c r="D20" s="27"/>
      <c r="E20" s="27" t="s">
        <v>378</v>
      </c>
      <c r="F20" s="27" t="s">
        <v>381</v>
      </c>
      <c r="G20" s="27" t="s">
        <v>391</v>
      </c>
      <c r="H20" s="28"/>
      <c r="I20" s="28"/>
      <c r="J20" s="28"/>
      <c r="K20" s="28"/>
      <c r="L20" s="28"/>
      <c r="M20" s="28"/>
      <c r="N20" s="28"/>
      <c r="O20" s="28">
        <v>-400</v>
      </c>
      <c r="P20" s="29">
        <f>+Table134711[[#This Row],[Pagado por MVPX]]+Table134711[[#This Row],[Avance]]+P19</f>
        <v>7419.7300000000005</v>
      </c>
    </row>
    <row r="21" spans="2:16" s="12" customFormat="1" x14ac:dyDescent="0.25">
      <c r="B21" s="47">
        <v>44126</v>
      </c>
      <c r="C21" s="27"/>
      <c r="D21" s="27"/>
      <c r="E21" s="27" t="s">
        <v>378</v>
      </c>
      <c r="F21" s="27" t="s">
        <v>381</v>
      </c>
      <c r="G21" s="27" t="s">
        <v>392</v>
      </c>
      <c r="H21" s="28"/>
      <c r="I21" s="28"/>
      <c r="J21" s="28"/>
      <c r="K21" s="28"/>
      <c r="L21" s="28"/>
      <c r="M21" s="28"/>
      <c r="N21" s="28"/>
      <c r="O21" s="28">
        <v>-1000</v>
      </c>
      <c r="P21" s="29">
        <f>+Table134711[[#This Row],[Pagado por MVPX]]+Table134711[[#This Row],[Avance]]+P20</f>
        <v>6419.7300000000005</v>
      </c>
    </row>
    <row r="22" spans="2:16" s="12" customFormat="1" ht="36" x14ac:dyDescent="0.25">
      <c r="B22" s="47">
        <v>44166</v>
      </c>
      <c r="C22" s="27"/>
      <c r="D22" s="27"/>
      <c r="E22" s="27" t="s">
        <v>378</v>
      </c>
      <c r="F22" s="27" t="s">
        <v>381</v>
      </c>
      <c r="G22" s="27" t="s">
        <v>393</v>
      </c>
      <c r="H22" s="28"/>
      <c r="I22" s="28"/>
      <c r="J22" s="28"/>
      <c r="K22" s="28"/>
      <c r="L22" s="28"/>
      <c r="M22" s="28"/>
      <c r="N22" s="28"/>
      <c r="O22" s="28">
        <v>-985</v>
      </c>
      <c r="P22" s="29">
        <f>+Table134711[[#This Row],[Pagado por MVPX]]+Table134711[[#This Row],[Avance]]+P21</f>
        <v>5434.7300000000005</v>
      </c>
    </row>
    <row r="23" spans="2:16" s="12" customFormat="1" ht="36" x14ac:dyDescent="0.25">
      <c r="B23" s="47">
        <v>44166</v>
      </c>
      <c r="C23" s="27"/>
      <c r="D23" s="27"/>
      <c r="E23" s="27" t="s">
        <v>378</v>
      </c>
      <c r="F23" s="27"/>
      <c r="G23" s="27" t="s">
        <v>394</v>
      </c>
      <c r="H23" s="28"/>
      <c r="I23" s="28"/>
      <c r="J23" s="28"/>
      <c r="K23" s="28"/>
      <c r="L23" s="28"/>
      <c r="M23" s="28"/>
      <c r="N23" s="28"/>
      <c r="O23" s="28">
        <v>-2500</v>
      </c>
      <c r="P23" s="29">
        <f>+Table134711[[#This Row],[Pagado por MVPX]]+Table134711[[#This Row],[Avance]]+P22</f>
        <v>2934.7300000000005</v>
      </c>
    </row>
    <row r="24" spans="2:16" s="12" customFormat="1" ht="36" x14ac:dyDescent="0.25">
      <c r="B24" s="47">
        <v>44135</v>
      </c>
      <c r="C24" s="27" t="s">
        <v>395</v>
      </c>
      <c r="D24" s="27" t="s">
        <v>372</v>
      </c>
      <c r="E24" s="27"/>
      <c r="F24" s="27" t="s">
        <v>396</v>
      </c>
      <c r="G24" s="27" t="s">
        <v>397</v>
      </c>
      <c r="H24" s="28">
        <v>1000</v>
      </c>
      <c r="I24" s="28">
        <v>-15</v>
      </c>
      <c r="J24" s="28"/>
      <c r="K24" s="28">
        <f>Table134711[[#This Row],[Valor de la Factura del Cliente]]*-0.2</f>
        <v>-200</v>
      </c>
      <c r="L24" s="28">
        <f>+Table134711[[#This Row],[Valor de la Factura del Cliente]]*-0.05</f>
        <v>-50</v>
      </c>
      <c r="M24" s="28"/>
      <c r="N24" s="28">
        <v>735</v>
      </c>
      <c r="O24" s="28"/>
      <c r="P24" s="29">
        <f>+Table134711[[#This Row],[Pagado por MVPX]]+Table134711[[#This Row],[Avance]]+P23</f>
        <v>3669.7300000000005</v>
      </c>
    </row>
    <row r="25" spans="2:16" s="12" customFormat="1" ht="36" x14ac:dyDescent="0.25">
      <c r="B25" s="47">
        <v>44144</v>
      </c>
      <c r="C25" s="52">
        <v>14</v>
      </c>
      <c r="D25" s="27" t="s">
        <v>372</v>
      </c>
      <c r="E25" s="27"/>
      <c r="F25" s="27" t="s">
        <v>396</v>
      </c>
      <c r="G25" s="27" t="s">
        <v>398</v>
      </c>
      <c r="H25" s="28">
        <v>1500</v>
      </c>
      <c r="I25" s="28">
        <v>-15</v>
      </c>
      <c r="J25" s="28"/>
      <c r="K25" s="28">
        <f>Table134711[[#This Row],[Valor de la Factura del Cliente]]*-0.2</f>
        <v>-300</v>
      </c>
      <c r="L25" s="28">
        <f>+Table134711[[#This Row],[Valor de la Factura del Cliente]]*-0.05</f>
        <v>-75</v>
      </c>
      <c r="M25" s="28"/>
      <c r="N25" s="28">
        <v>1110</v>
      </c>
      <c r="O25" s="28"/>
      <c r="P25" s="29">
        <f>+Table134711[[#This Row],[Pagado por MVPX]]+Table134711[[#This Row],[Avance]]+P24</f>
        <v>4779.7300000000005</v>
      </c>
    </row>
    <row r="26" spans="2:16" s="12" customFormat="1" x14ac:dyDescent="0.25">
      <c r="B26" s="47">
        <v>44186</v>
      </c>
      <c r="C26" s="27" t="s">
        <v>399</v>
      </c>
      <c r="D26" s="27" t="s">
        <v>372</v>
      </c>
      <c r="E26" s="27"/>
      <c r="F26" s="27" t="s">
        <v>396</v>
      </c>
      <c r="G26" s="27" t="s">
        <v>400</v>
      </c>
      <c r="H26" s="28">
        <v>1000</v>
      </c>
      <c r="I26" s="28">
        <v>-15</v>
      </c>
      <c r="J26" s="28"/>
      <c r="K26" s="28">
        <f>Table134711[[#This Row],[Valor de la Factura del Cliente]]*-0.2</f>
        <v>-200</v>
      </c>
      <c r="L26" s="28">
        <f>+Table134711[[#This Row],[Valor de la Factura del Cliente]]*-0.05</f>
        <v>-50</v>
      </c>
      <c r="M26" s="28"/>
      <c r="N26" s="28">
        <v>735</v>
      </c>
      <c r="O26" s="28"/>
      <c r="P26" s="29">
        <f>+Table134711[[#This Row],[Pagado por MVPX]]+Table134711[[#This Row],[Avance]]+P25</f>
        <v>5514.7300000000005</v>
      </c>
    </row>
    <row r="27" spans="2:16" s="12" customFormat="1" x14ac:dyDescent="0.25">
      <c r="B27" s="47">
        <v>44219</v>
      </c>
      <c r="C27" s="27"/>
      <c r="D27" s="27" t="s">
        <v>369</v>
      </c>
      <c r="E27" s="27"/>
      <c r="F27" s="27"/>
      <c r="G27" s="27" t="s">
        <v>401</v>
      </c>
      <c r="H27" s="28"/>
      <c r="I27" s="28"/>
      <c r="J27" s="28"/>
      <c r="K27" s="28"/>
      <c r="L27" s="28"/>
      <c r="M27" s="28"/>
      <c r="N27" s="28">
        <v>500</v>
      </c>
      <c r="O27" s="28"/>
      <c r="P27" s="29">
        <f>+Table134711[[#This Row],[Pagado por MVPX]]+Table134711[[#This Row],[Avance]]+P26</f>
        <v>6014.7300000000005</v>
      </c>
    </row>
    <row r="28" spans="2:16" s="12" customFormat="1" x14ac:dyDescent="0.25">
      <c r="B28" s="47">
        <v>44219</v>
      </c>
      <c r="C28" s="27"/>
      <c r="D28" s="27" t="s">
        <v>369</v>
      </c>
      <c r="E28" s="27"/>
      <c r="F28" s="27"/>
      <c r="G28" s="27" t="s">
        <v>402</v>
      </c>
      <c r="H28" s="28"/>
      <c r="I28" s="28"/>
      <c r="J28" s="28"/>
      <c r="K28" s="28"/>
      <c r="L28" s="28"/>
      <c r="M28" s="28"/>
      <c r="N28" s="28">
        <v>500</v>
      </c>
      <c r="O28" s="28"/>
      <c r="P28" s="29">
        <f>+Table134711[[#This Row],[Pagado por MVPX]]+Table134711[[#This Row],[Avance]]+P27</f>
        <v>6514.7300000000005</v>
      </c>
    </row>
    <row r="29" spans="2:16" s="12" customFormat="1" x14ac:dyDescent="0.25">
      <c r="B29" s="47">
        <v>44219</v>
      </c>
      <c r="C29" s="27"/>
      <c r="D29" s="27" t="s">
        <v>369</v>
      </c>
      <c r="E29" s="27"/>
      <c r="F29" s="27"/>
      <c r="G29" s="27" t="s">
        <v>403</v>
      </c>
      <c r="H29" s="28"/>
      <c r="I29" s="28"/>
      <c r="J29" s="28"/>
      <c r="K29" s="28"/>
      <c r="L29" s="28"/>
      <c r="M29" s="28"/>
      <c r="N29" s="28">
        <v>500</v>
      </c>
      <c r="O29" s="28"/>
      <c r="P29" s="29">
        <f>+Table134711[[#This Row],[Pagado por MVPX]]+Table134711[[#This Row],[Avance]]+P28</f>
        <v>7014.7300000000005</v>
      </c>
    </row>
    <row r="30" spans="2:16" s="12" customFormat="1" ht="36" x14ac:dyDescent="0.25">
      <c r="B30" s="47">
        <v>44237</v>
      </c>
      <c r="C30" s="27" t="s">
        <v>404</v>
      </c>
      <c r="D30" s="27" t="s">
        <v>372</v>
      </c>
      <c r="E30" s="27"/>
      <c r="F30" s="27" t="s">
        <v>405</v>
      </c>
      <c r="G30" s="27" t="s">
        <v>406</v>
      </c>
      <c r="H30" s="28">
        <v>200</v>
      </c>
      <c r="I30" s="28"/>
      <c r="J30" s="28"/>
      <c r="K30" s="28">
        <f>Table134711[[#This Row],[Valor de la Factura del Cliente]]*-0.2</f>
        <v>-40</v>
      </c>
      <c r="L30" s="28">
        <f>+Table134711[[#This Row],[Valor de la Factura del Cliente]]*-0.05</f>
        <v>-10</v>
      </c>
      <c r="M30" s="28"/>
      <c r="N30" s="28">
        <v>150</v>
      </c>
      <c r="O30" s="28"/>
      <c r="P30" s="29">
        <f>+Table134711[[#This Row],[Pagado por MVPX]]+Table134711[[#This Row],[Avance]]+P29</f>
        <v>7164.7300000000005</v>
      </c>
    </row>
    <row r="31" spans="2:16" s="12" customFormat="1" ht="36" x14ac:dyDescent="0.25">
      <c r="B31" s="47">
        <v>44237</v>
      </c>
      <c r="C31" s="27" t="s">
        <v>407</v>
      </c>
      <c r="D31" s="27" t="s">
        <v>372</v>
      </c>
      <c r="E31" s="27"/>
      <c r="F31" s="27" t="s">
        <v>408</v>
      </c>
      <c r="G31" s="27" t="s">
        <v>409</v>
      </c>
      <c r="H31" s="28">
        <v>300</v>
      </c>
      <c r="I31" s="28"/>
      <c r="J31" s="28"/>
      <c r="K31" s="28">
        <f>Table134711[[#This Row],[Valor de la Factura del Cliente]]*-0.2</f>
        <v>-60</v>
      </c>
      <c r="L31" s="28">
        <f>+Table134711[[#This Row],[Valor de la Factura del Cliente]]*-0.05</f>
        <v>-15</v>
      </c>
      <c r="M31" s="28"/>
      <c r="N31" s="28">
        <v>225</v>
      </c>
      <c r="O31" s="28"/>
      <c r="P31" s="29">
        <f>+Table134711[[#This Row],[Pagado por MVPX]]+Table134711[[#This Row],[Avance]]+P30</f>
        <v>7389.7300000000005</v>
      </c>
    </row>
    <row r="32" spans="2:16" s="12" customFormat="1" ht="36" x14ac:dyDescent="0.25">
      <c r="B32" s="47">
        <v>44244</v>
      </c>
      <c r="C32" s="27" t="s">
        <v>410</v>
      </c>
      <c r="D32" s="27" t="s">
        <v>372</v>
      </c>
      <c r="E32" s="27"/>
      <c r="F32" s="27" t="s">
        <v>396</v>
      </c>
      <c r="G32" s="27" t="s">
        <v>411</v>
      </c>
      <c r="H32" s="28">
        <v>2500</v>
      </c>
      <c r="I32" s="28">
        <v>-15</v>
      </c>
      <c r="J32" s="28"/>
      <c r="K32" s="28">
        <f>Table134711[[#This Row],[Valor de la Factura del Cliente]]*-0.2</f>
        <v>-500</v>
      </c>
      <c r="L32" s="28">
        <f>+Table134711[[#This Row],[Valor de la Factura del Cliente]]*-0.05</f>
        <v>-125</v>
      </c>
      <c r="M32" s="28"/>
      <c r="N32" s="28">
        <v>1860</v>
      </c>
      <c r="O32" s="28"/>
      <c r="P32" s="29">
        <f>+Table134711[[#This Row],[Pagado por MVPX]]+Table134711[[#This Row],[Avance]]+P31</f>
        <v>9249.73</v>
      </c>
    </row>
    <row r="33" spans="2:16" s="12" customFormat="1" ht="54" x14ac:dyDescent="0.25">
      <c r="B33" s="47">
        <v>44201</v>
      </c>
      <c r="C33" s="27"/>
      <c r="D33" s="27"/>
      <c r="E33" s="27" t="s">
        <v>378</v>
      </c>
      <c r="F33" s="27"/>
      <c r="G33" s="27" t="s">
        <v>412</v>
      </c>
      <c r="H33" s="28"/>
      <c r="I33" s="28"/>
      <c r="J33" s="28"/>
      <c r="K33" s="28">
        <f>Table134711[[#This Row],[Valor de la Factura del Cliente]]*-0.2</f>
        <v>0</v>
      </c>
      <c r="L33" s="28">
        <f>+Table134711[[#This Row],[Valor de la Factura del Cliente]]*-0.05</f>
        <v>0</v>
      </c>
      <c r="M33" s="28"/>
      <c r="N33" s="28"/>
      <c r="O33" s="28">
        <v>-985</v>
      </c>
      <c r="P33" s="29">
        <f>+Table134711[[#This Row],[Pagado por MVPX]]+Table134711[[#This Row],[Avance]]+P32</f>
        <v>8264.73</v>
      </c>
    </row>
    <row r="34" spans="2:16" s="12" customFormat="1" ht="54" x14ac:dyDescent="0.25">
      <c r="B34" s="47">
        <v>44291</v>
      </c>
      <c r="C34" s="27"/>
      <c r="D34" s="27"/>
      <c r="E34" s="27" t="s">
        <v>378</v>
      </c>
      <c r="F34" s="27"/>
      <c r="G34" s="27" t="s">
        <v>413</v>
      </c>
      <c r="H34" s="28"/>
      <c r="I34" s="28"/>
      <c r="J34" s="28"/>
      <c r="K34" s="28">
        <f>Table134711[[#This Row],[Valor de la Factura del Cliente]]*-0.2</f>
        <v>0</v>
      </c>
      <c r="L34" s="28">
        <f>+Table134711[[#This Row],[Valor de la Factura del Cliente]]*-0.05</f>
        <v>0</v>
      </c>
      <c r="M34" s="28"/>
      <c r="N34" s="28"/>
      <c r="O34" s="28">
        <v>-125</v>
      </c>
      <c r="P34" s="29">
        <f>+Table134711[[#This Row],[Pagado por MVPX]]+Table134711[[#This Row],[Avance]]+P33</f>
        <v>8139.73</v>
      </c>
    </row>
    <row r="35" spans="2:16" s="12" customFormat="1" x14ac:dyDescent="0.25">
      <c r="B35" s="47">
        <v>44291</v>
      </c>
      <c r="C35" s="27"/>
      <c r="D35" s="27"/>
      <c r="E35" s="27" t="s">
        <v>378</v>
      </c>
      <c r="F35" s="27"/>
      <c r="G35" s="27"/>
      <c r="H35" s="28"/>
      <c r="I35" s="28"/>
      <c r="J35" s="28"/>
      <c r="K35" s="28">
        <f>Table134711[[#This Row],[Valor de la Factura del Cliente]]*-0.2</f>
        <v>0</v>
      </c>
      <c r="L35" s="28">
        <f>+Table134711[[#This Row],[Valor de la Factura del Cliente]]*-0.05</f>
        <v>0</v>
      </c>
      <c r="M35" s="28"/>
      <c r="N35" s="28"/>
      <c r="O35" s="28">
        <v>-375</v>
      </c>
      <c r="P35" s="29">
        <f>+Table134711[[#This Row],[Pagado por MVPX]]+Table134711[[#This Row],[Avance]]+P34</f>
        <v>7764.73</v>
      </c>
    </row>
    <row r="36" spans="2:16" s="12" customFormat="1" x14ac:dyDescent="0.25">
      <c r="B36" s="47">
        <v>44305</v>
      </c>
      <c r="C36" s="27"/>
      <c r="D36" s="27"/>
      <c r="E36" s="27" t="s">
        <v>378</v>
      </c>
      <c r="F36" s="27"/>
      <c r="G36" s="27"/>
      <c r="H36" s="28"/>
      <c r="I36" s="28"/>
      <c r="J36" s="28"/>
      <c r="K36" s="28">
        <f>Table134711[[#This Row],[Valor de la Factura del Cliente]]*-0.2</f>
        <v>0</v>
      </c>
      <c r="L36" s="28">
        <f>+Table134711[[#This Row],[Valor de la Factura del Cliente]]*-0.05</f>
        <v>0</v>
      </c>
      <c r="M36" s="28"/>
      <c r="N36" s="28"/>
      <c r="O36" s="28">
        <v>-500</v>
      </c>
      <c r="P36" s="29">
        <f>+Table134711[[#This Row],[Pagado por MVPX]]+Table134711[[#This Row],[Avance]]+P35</f>
        <v>7264.73</v>
      </c>
    </row>
    <row r="37" spans="2:16" s="12" customFormat="1" x14ac:dyDescent="0.25">
      <c r="B37" s="47">
        <v>44375</v>
      </c>
      <c r="C37" s="27"/>
      <c r="D37" s="27"/>
      <c r="E37" s="27"/>
      <c r="F37" s="27"/>
      <c r="G37" s="27"/>
      <c r="H37" s="28"/>
      <c r="I37" s="28"/>
      <c r="J37" s="28"/>
      <c r="K37" s="28">
        <f>Table134711[[#This Row],[Valor de la Factura del Cliente]]*-0.2</f>
        <v>0</v>
      </c>
      <c r="L37" s="28">
        <f>+Table134711[[#This Row],[Valor de la Factura del Cliente]]*-0.05</f>
        <v>0</v>
      </c>
      <c r="M37" s="28"/>
      <c r="N37" s="28"/>
      <c r="O37" s="28">
        <v>-500</v>
      </c>
      <c r="P37" s="29">
        <f>+Table134711[[#This Row],[Pagado por MVPX]]+Table134711[[#This Row],[Avance]]+P36</f>
        <v>6764.73</v>
      </c>
    </row>
    <row r="38" spans="2:16" s="12" customFormat="1" ht="36" x14ac:dyDescent="0.25">
      <c r="B38" s="47">
        <v>44529</v>
      </c>
      <c r="C38" s="27"/>
      <c r="D38" s="27" t="s">
        <v>369</v>
      </c>
      <c r="E38" s="27"/>
      <c r="F38" s="27"/>
      <c r="G38" s="27" t="s">
        <v>414</v>
      </c>
      <c r="H38" s="28"/>
      <c r="I38" s="28"/>
      <c r="J38" s="28"/>
      <c r="K38" s="28">
        <f>Table134711[[#This Row],[Valor de la Factura del Cliente]]*-0.2</f>
        <v>0</v>
      </c>
      <c r="L38" s="28">
        <f>+Table134711[[#This Row],[Valor de la Factura del Cliente]]*-0.05</f>
        <v>0</v>
      </c>
      <c r="M38" s="28"/>
      <c r="N38" s="28">
        <v>800</v>
      </c>
      <c r="O38" s="28"/>
      <c r="P38" s="29">
        <f>+Table134711[[#This Row],[Pagado por MVPX]]+Table134711[[#This Row],[Avance]]+P37</f>
        <v>7564.73</v>
      </c>
    </row>
    <row r="39" spans="2:16" s="12" customFormat="1" x14ac:dyDescent="0.25">
      <c r="B39" s="47">
        <v>44529</v>
      </c>
      <c r="C39" s="27"/>
      <c r="D39" s="27" t="s">
        <v>369</v>
      </c>
      <c r="E39" s="27"/>
      <c r="F39" s="27"/>
      <c r="G39" s="27" t="s">
        <v>415</v>
      </c>
      <c r="H39" s="28"/>
      <c r="I39" s="28"/>
      <c r="J39" s="28"/>
      <c r="K39" s="28">
        <f>Table134711[[#This Row],[Valor de la Factura del Cliente]]*-0.2</f>
        <v>0</v>
      </c>
      <c r="L39" s="28">
        <f>+Table134711[[#This Row],[Valor de la Factura del Cliente]]*-0.05</f>
        <v>0</v>
      </c>
      <c r="M39" s="28"/>
      <c r="N39" s="28">
        <v>700</v>
      </c>
      <c r="O39" s="28"/>
      <c r="P39" s="29">
        <f>+Table134711[[#This Row],[Pagado por MVPX]]+Table134711[[#This Row],[Avance]]+P38</f>
        <v>8264.73</v>
      </c>
    </row>
    <row r="40" spans="2:16" s="12" customFormat="1" x14ac:dyDescent="0.25">
      <c r="B40" s="47">
        <v>44529</v>
      </c>
      <c r="C40" s="27"/>
      <c r="D40" s="27" t="s">
        <v>369</v>
      </c>
      <c r="E40" s="27"/>
      <c r="F40" s="27"/>
      <c r="G40" s="27" t="s">
        <v>416</v>
      </c>
      <c r="H40" s="28"/>
      <c r="I40" s="28"/>
      <c r="J40" s="28"/>
      <c r="K40" s="28">
        <f>Table134711[[#This Row],[Valor de la Factura del Cliente]]*-0.2</f>
        <v>0</v>
      </c>
      <c r="L40" s="28">
        <f>+Table134711[[#This Row],[Valor de la Factura del Cliente]]*-0.05</f>
        <v>0</v>
      </c>
      <c r="M40" s="28"/>
      <c r="N40" s="28">
        <v>3250</v>
      </c>
      <c r="O40" s="28"/>
      <c r="P40" s="29">
        <f>+Table134711[[#This Row],[Pagado por MVPX]]+Table134711[[#This Row],[Avance]]+P39</f>
        <v>11514.73</v>
      </c>
    </row>
    <row r="41" spans="2:16" s="12" customFormat="1" x14ac:dyDescent="0.25">
      <c r="B41" s="47">
        <v>44529</v>
      </c>
      <c r="C41" s="27"/>
      <c r="D41" s="27" t="s">
        <v>369</v>
      </c>
      <c r="E41" s="27"/>
      <c r="F41" s="27"/>
      <c r="G41" s="27" t="s">
        <v>417</v>
      </c>
      <c r="H41" s="28"/>
      <c r="I41" s="28"/>
      <c r="J41" s="28"/>
      <c r="K41" s="28">
        <f>Table134711[[#This Row],[Valor de la Factura del Cliente]]*-0.2</f>
        <v>0</v>
      </c>
      <c r="L41" s="28">
        <f>+Table134711[[#This Row],[Valor de la Factura del Cliente]]*-0.05</f>
        <v>0</v>
      </c>
      <c r="M41" s="28"/>
      <c r="N41" s="28">
        <v>375</v>
      </c>
      <c r="O41" s="28"/>
      <c r="P41" s="29">
        <f>+Table134711[[#This Row],[Pagado por MVPX]]+Table134711[[#This Row],[Avance]]+P40</f>
        <v>11889.73</v>
      </c>
    </row>
    <row r="42" spans="2:16" s="12" customFormat="1" x14ac:dyDescent="0.25">
      <c r="B42" s="48">
        <v>44529</v>
      </c>
      <c r="C42" s="30"/>
      <c r="D42" s="30" t="s">
        <v>369</v>
      </c>
      <c r="E42" s="30"/>
      <c r="F42" s="30"/>
      <c r="G42" s="30" t="s">
        <v>418</v>
      </c>
      <c r="H42" s="31"/>
      <c r="I42" s="31"/>
      <c r="J42" s="31"/>
      <c r="K42" s="28">
        <f>Table134711[[#This Row],[Valor de la Factura del Cliente]]*-0.2</f>
        <v>0</v>
      </c>
      <c r="L42" s="28">
        <f>+Table134711[[#This Row],[Valor de la Factura del Cliente]]*-0.05</f>
        <v>0</v>
      </c>
      <c r="M42" s="31"/>
      <c r="N42" s="31">
        <v>750</v>
      </c>
      <c r="O42" s="31"/>
      <c r="P42" s="29">
        <f>+Table134711[[#This Row],[Pagado por MVPX]]+Table134711[[#This Row],[Avance]]+P41</f>
        <v>12639.73</v>
      </c>
    </row>
    <row r="43" spans="2:16" s="33" customFormat="1" x14ac:dyDescent="0.25">
      <c r="B43" s="47">
        <v>44529</v>
      </c>
      <c r="C43" s="27"/>
      <c r="D43" s="27" t="s">
        <v>369</v>
      </c>
      <c r="E43" s="27"/>
      <c r="F43" s="27"/>
      <c r="G43" s="27" t="s">
        <v>419</v>
      </c>
      <c r="H43" s="28"/>
      <c r="I43" s="28"/>
      <c r="J43" s="28"/>
      <c r="K43" s="28">
        <f>Table134711[[#This Row],[Valor de la Factura del Cliente]]*-0.2</f>
        <v>0</v>
      </c>
      <c r="L43" s="28">
        <f>+Table134711[[#This Row],[Valor de la Factura del Cliente]]*-0.05</f>
        <v>0</v>
      </c>
      <c r="M43" s="28"/>
      <c r="N43" s="28">
        <v>750</v>
      </c>
      <c r="O43" s="28"/>
      <c r="P43" s="29">
        <f>+Table134711[[#This Row],[Pagado por MVPX]]+Table134711[[#This Row],[Avance]]+P42</f>
        <v>13389.73</v>
      </c>
    </row>
    <row r="44" spans="2:16" s="12" customFormat="1" x14ac:dyDescent="0.25">
      <c r="B44" s="47">
        <v>44620</v>
      </c>
      <c r="C44" s="27"/>
      <c r="D44" s="27" t="s">
        <v>369</v>
      </c>
      <c r="E44" s="27"/>
      <c r="F44" s="27"/>
      <c r="G44" s="27" t="s">
        <v>420</v>
      </c>
      <c r="H44" s="28"/>
      <c r="I44" s="28"/>
      <c r="J44" s="28"/>
      <c r="K44" s="28">
        <f>Table134711[[#This Row],[Valor de la Factura del Cliente]]*-0.2</f>
        <v>0</v>
      </c>
      <c r="L44" s="28">
        <f>+Table134711[[#This Row],[Valor de la Factura del Cliente]]*-0.05</f>
        <v>0</v>
      </c>
      <c r="M44" s="28"/>
      <c r="N44" s="28">
        <v>1000</v>
      </c>
      <c r="O44" s="28"/>
      <c r="P44" s="29">
        <f>+Table134711[[#This Row],[Pagado por MVPX]]+Table134711[[#This Row],[Avance]]+P43</f>
        <v>14389.73</v>
      </c>
    </row>
    <row r="45" spans="2:16" s="12" customFormat="1" ht="36" x14ac:dyDescent="0.25">
      <c r="B45" s="47">
        <v>44642</v>
      </c>
      <c r="C45" s="27" t="s">
        <v>421</v>
      </c>
      <c r="D45" s="27" t="s">
        <v>372</v>
      </c>
      <c r="E45" s="27"/>
      <c r="F45" s="27" t="s">
        <v>422</v>
      </c>
      <c r="G45" s="27" t="s">
        <v>423</v>
      </c>
      <c r="H45" s="28">
        <v>3227.17</v>
      </c>
      <c r="I45" s="28"/>
      <c r="J45" s="28"/>
      <c r="K45" s="28">
        <f>Table134711[[#This Row],[Valor de la Factura del Cliente]]*-0.2</f>
        <v>-645.43400000000008</v>
      </c>
      <c r="L45" s="28">
        <f>+Table134711[[#This Row],[Valor de la Factura del Cliente]]*-0.05</f>
        <v>-161.35850000000002</v>
      </c>
      <c r="M45" s="28"/>
      <c r="N45" s="28">
        <v>2400.12</v>
      </c>
      <c r="O45" s="28"/>
      <c r="P45" s="29">
        <f>+Table134711[[#This Row],[Pagado por MVPX]]+Table134711[[#This Row],[Avance]]+P44</f>
        <v>16789.849999999999</v>
      </c>
    </row>
    <row r="46" spans="2:16" s="12" customFormat="1" x14ac:dyDescent="0.25">
      <c r="B46" s="47">
        <v>44583</v>
      </c>
      <c r="C46" s="27" t="s">
        <v>424</v>
      </c>
      <c r="D46" s="27" t="s">
        <v>372</v>
      </c>
      <c r="E46" s="27"/>
      <c r="F46" s="27" t="s">
        <v>396</v>
      </c>
      <c r="G46" s="27" t="s">
        <v>425</v>
      </c>
      <c r="H46" s="28">
        <v>19500</v>
      </c>
      <c r="I46" s="28"/>
      <c r="J46" s="28"/>
      <c r="K46" s="28">
        <f>Table134711[[#This Row],[Valor de la Factura del Cliente]]*-0.2</f>
        <v>-3900</v>
      </c>
      <c r="L46" s="28">
        <f>+Table134711[[#This Row],[Valor de la Factura del Cliente]]*-0.05</f>
        <v>-975</v>
      </c>
      <c r="M46" s="28"/>
      <c r="N46" s="28">
        <v>14625</v>
      </c>
      <c r="O46" s="28"/>
      <c r="P46" s="29">
        <f>+Table134711[[#This Row],[Pagado por MVPX]]+Table134711[[#This Row],[Avance]]+P45</f>
        <v>31414.85</v>
      </c>
    </row>
    <row r="47" spans="2:16" s="12" customFormat="1" x14ac:dyDescent="0.25">
      <c r="B47" s="47">
        <v>44837</v>
      </c>
      <c r="C47" s="27" t="s">
        <v>426</v>
      </c>
      <c r="D47" s="27" t="s">
        <v>372</v>
      </c>
      <c r="E47" s="27"/>
      <c r="F47" s="27" t="s">
        <v>408</v>
      </c>
      <c r="G47" s="27" t="s">
        <v>427</v>
      </c>
      <c r="H47" s="28">
        <v>2500</v>
      </c>
      <c r="I47" s="28"/>
      <c r="J47" s="28"/>
      <c r="K47" s="28">
        <f>Table134711[[#This Row],[Valor de la Factura del Cliente]]*-0.2</f>
        <v>-500</v>
      </c>
      <c r="L47" s="28">
        <f>+Table134711[[#This Row],[Valor de la Factura del Cliente]]*-0.05</f>
        <v>-125</v>
      </c>
      <c r="M47" s="28"/>
      <c r="N47" s="28">
        <v>1875</v>
      </c>
      <c r="O47" s="28"/>
      <c r="P47" s="29">
        <f>+Table134711[[#This Row],[Pagado por MVPX]]+Table134711[[#This Row],[Avance]]+P46</f>
        <v>33289.85</v>
      </c>
    </row>
    <row r="48" spans="2:16" s="12" customFormat="1" ht="54" x14ac:dyDescent="0.25">
      <c r="B48" s="47">
        <v>44340</v>
      </c>
      <c r="C48" s="27"/>
      <c r="D48" s="27"/>
      <c r="E48" s="27" t="s">
        <v>378</v>
      </c>
      <c r="F48" s="27"/>
      <c r="G48" s="27" t="s">
        <v>428</v>
      </c>
      <c r="H48" s="28"/>
      <c r="I48" s="28"/>
      <c r="J48" s="28"/>
      <c r="K48" s="28">
        <f>Table134711[[#This Row],[Valor de la Factura del Cliente]]*-0.2</f>
        <v>0</v>
      </c>
      <c r="L48" s="28">
        <f>+Table134711[[#This Row],[Valor de la Factura del Cliente]]*-0.05</f>
        <v>0</v>
      </c>
      <c r="M48" s="28"/>
      <c r="N48" s="28"/>
      <c r="O48" s="28">
        <v>-6000</v>
      </c>
      <c r="P48" s="29">
        <f>+Table134711[[#This Row],[Pagado por MVPX]]+Table134711[[#This Row],[Avance]]+P47</f>
        <v>27289.85</v>
      </c>
    </row>
    <row r="49" spans="2:16" s="12" customFormat="1" x14ac:dyDescent="0.25">
      <c r="B49" s="47">
        <v>44503</v>
      </c>
      <c r="C49" s="27"/>
      <c r="D49" s="27"/>
      <c r="E49" s="27" t="s">
        <v>378</v>
      </c>
      <c r="F49" s="27"/>
      <c r="G49" s="27" t="s">
        <v>429</v>
      </c>
      <c r="H49" s="28"/>
      <c r="I49" s="28"/>
      <c r="J49" s="28"/>
      <c r="K49" s="28">
        <f>Table134711[[#This Row],[Valor de la Factura del Cliente]]*-0.2</f>
        <v>0</v>
      </c>
      <c r="L49" s="28">
        <f>+Table134711[[#This Row],[Valor de la Factura del Cliente]]*-0.05</f>
        <v>0</v>
      </c>
      <c r="M49" s="28"/>
      <c r="N49" s="28"/>
      <c r="O49" s="28">
        <v>-1500</v>
      </c>
      <c r="P49" s="29">
        <f>+Table134711[[#This Row],[Pagado por MVPX]]+Table134711[[#This Row],[Avance]]+P48</f>
        <v>25789.85</v>
      </c>
    </row>
    <row r="50" spans="2:16" s="12" customFormat="1" x14ac:dyDescent="0.25">
      <c r="B50" s="47"/>
      <c r="C50" s="27"/>
      <c r="D50" s="27"/>
      <c r="E50" s="27" t="s">
        <v>378</v>
      </c>
      <c r="F50" s="27"/>
      <c r="G50" s="27"/>
      <c r="H50" s="28"/>
      <c r="I50" s="28"/>
      <c r="J50" s="28"/>
      <c r="K50" s="28">
        <f>Table134711[[#This Row],[Valor de la Factura del Cliente]]*-0.2</f>
        <v>0</v>
      </c>
      <c r="L50" s="28">
        <f>+Table134711[[#This Row],[Valor de la Factura del Cliente]]*-0.05</f>
        <v>0</v>
      </c>
      <c r="M50" s="28"/>
      <c r="N50" s="28"/>
      <c r="O50" s="28">
        <v>-8125</v>
      </c>
      <c r="P50" s="29">
        <f>+Table134711[[#This Row],[Pagado por MVPX]]+Table134711[[#This Row],[Avance]]+P49</f>
        <v>17664.849999999999</v>
      </c>
    </row>
    <row r="51" spans="2:16" s="12" customFormat="1" x14ac:dyDescent="0.25">
      <c r="B51" s="47">
        <v>44631</v>
      </c>
      <c r="C51" s="27"/>
      <c r="D51" s="27"/>
      <c r="E51" s="27" t="s">
        <v>378</v>
      </c>
      <c r="F51" s="27"/>
      <c r="G51" s="27" t="s">
        <v>420</v>
      </c>
      <c r="H51" s="28"/>
      <c r="I51" s="28"/>
      <c r="J51" s="28"/>
      <c r="K51" s="28">
        <f>Table134711[[#This Row],[Valor de la Factura del Cliente]]*-0.2</f>
        <v>0</v>
      </c>
      <c r="L51" s="28">
        <f>+Table134711[[#This Row],[Valor de la Factura del Cliente]]*-0.05</f>
        <v>0</v>
      </c>
      <c r="M51" s="28"/>
      <c r="N51" s="28"/>
      <c r="O51" s="28">
        <v>-1000</v>
      </c>
      <c r="P51" s="29">
        <f>+Table134711[[#This Row],[Pagado por MVPX]]+Table134711[[#This Row],[Avance]]+P50</f>
        <v>16664.849999999999</v>
      </c>
    </row>
    <row r="52" spans="2:16" s="12" customFormat="1" x14ac:dyDescent="0.25">
      <c r="B52" s="47">
        <v>44690</v>
      </c>
      <c r="C52" s="27"/>
      <c r="D52" s="27"/>
      <c r="E52" s="27" t="s">
        <v>378</v>
      </c>
      <c r="F52" s="27"/>
      <c r="G52" s="27" t="s">
        <v>430</v>
      </c>
      <c r="H52" s="28"/>
      <c r="I52" s="28"/>
      <c r="J52" s="28"/>
      <c r="K52" s="28">
        <f>Table134711[[#This Row],[Valor de la Factura del Cliente]]*-0.2</f>
        <v>0</v>
      </c>
      <c r="L52" s="28">
        <f>+Table134711[[#This Row],[Valor de la Factura del Cliente]]*-0.05</f>
        <v>0</v>
      </c>
      <c r="M52" s="28"/>
      <c r="N52" s="28"/>
      <c r="O52" s="28">
        <v>-3500</v>
      </c>
      <c r="P52" s="29">
        <f>+Table134711[[#This Row],[Pagado por MVPX]]+Table134711[[#This Row],[Avance]]+P51</f>
        <v>13164.849999999999</v>
      </c>
    </row>
    <row r="53" spans="2:16" s="12" customFormat="1" ht="36" x14ac:dyDescent="0.25">
      <c r="B53" s="47">
        <v>44802</v>
      </c>
      <c r="C53" s="27"/>
      <c r="D53" s="27"/>
      <c r="E53" s="27" t="s">
        <v>378</v>
      </c>
      <c r="F53" s="27"/>
      <c r="G53" s="27" t="s">
        <v>431</v>
      </c>
      <c r="H53" s="28"/>
      <c r="I53" s="28"/>
      <c r="J53" s="28"/>
      <c r="K53" s="28">
        <f>Table134711[[#This Row],[Valor de la Factura del Cliente]]*-0.2</f>
        <v>0</v>
      </c>
      <c r="L53" s="28">
        <f>+Table134711[[#This Row],[Valor de la Factura del Cliente]]*-0.05</f>
        <v>0</v>
      </c>
      <c r="M53" s="28"/>
      <c r="N53" s="28"/>
      <c r="O53" s="28">
        <v>-2000</v>
      </c>
      <c r="P53" s="29">
        <f>+Table134711[[#This Row],[Pagado por MVPX]]+Table134711[[#This Row],[Avance]]+P52</f>
        <v>11164.849999999999</v>
      </c>
    </row>
    <row r="54" spans="2:16" s="12" customFormat="1" ht="36" x14ac:dyDescent="0.25">
      <c r="B54" s="47">
        <v>44813</v>
      </c>
      <c r="C54" s="27"/>
      <c r="D54" s="27"/>
      <c r="E54" s="27" t="s">
        <v>378</v>
      </c>
      <c r="F54" s="27"/>
      <c r="G54" s="27" t="s">
        <v>431</v>
      </c>
      <c r="H54" s="28"/>
      <c r="I54" s="28"/>
      <c r="J54" s="28"/>
      <c r="K54" s="28">
        <f>Table134711[[#This Row],[Valor de la Factura del Cliente]]*-0.2</f>
        <v>0</v>
      </c>
      <c r="L54" s="28">
        <f>+Table134711[[#This Row],[Valor de la Factura del Cliente]]*-0.05</f>
        <v>0</v>
      </c>
      <c r="M54" s="28"/>
      <c r="N54" s="28"/>
      <c r="O54" s="28">
        <v>-500</v>
      </c>
      <c r="P54" s="29">
        <f>+Table134711[[#This Row],[Pagado por MVPX]]+Table134711[[#This Row],[Avance]]+P53</f>
        <v>10664.849999999999</v>
      </c>
    </row>
    <row r="55" spans="2:16" s="12" customFormat="1" x14ac:dyDescent="0.25">
      <c r="B55" s="47">
        <v>44837</v>
      </c>
      <c r="C55" s="27"/>
      <c r="D55" s="27"/>
      <c r="E55" s="27" t="s">
        <v>378</v>
      </c>
      <c r="F55" s="27"/>
      <c r="G55" s="27" t="s">
        <v>432</v>
      </c>
      <c r="H55" s="28"/>
      <c r="I55" s="28"/>
      <c r="J55" s="28"/>
      <c r="K55" s="28">
        <f>Table134711[[#This Row],[Valor de la Factura del Cliente]]*-0.2</f>
        <v>0</v>
      </c>
      <c r="L55" s="28">
        <f>+Table134711[[#This Row],[Valor de la Factura del Cliente]]*-0.05</f>
        <v>0</v>
      </c>
      <c r="M55" s="28"/>
      <c r="N55" s="28"/>
      <c r="O55" s="28">
        <v>-2000</v>
      </c>
      <c r="P55" s="29">
        <f>+Table134711[[#This Row],[Pagado por MVPX]]+Table134711[[#This Row],[Avance]]+P54</f>
        <v>8664.8499999999985</v>
      </c>
    </row>
    <row r="56" spans="2:16" s="12" customFormat="1" x14ac:dyDescent="0.25">
      <c r="B56" s="47">
        <v>44869</v>
      </c>
      <c r="C56" s="27"/>
      <c r="D56" s="27"/>
      <c r="E56" s="27" t="s">
        <v>378</v>
      </c>
      <c r="F56" s="27"/>
      <c r="G56" s="27" t="s">
        <v>433</v>
      </c>
      <c r="H56" s="28"/>
      <c r="I56" s="28"/>
      <c r="J56" s="28"/>
      <c r="K56" s="28">
        <f>Table134711[[#This Row],[Valor de la Factura del Cliente]]*-0.2</f>
        <v>0</v>
      </c>
      <c r="L56" s="28">
        <f>+Table134711[[#This Row],[Valor de la Factura del Cliente]]*-0.05</f>
        <v>0</v>
      </c>
      <c r="M56" s="28"/>
      <c r="N56" s="28"/>
      <c r="O56" s="28">
        <v>-5000</v>
      </c>
      <c r="P56" s="29">
        <f>+Table134711[[#This Row],[Pagado por MVPX]]+Table134711[[#This Row],[Avance]]+P55</f>
        <v>3664.8499999999985</v>
      </c>
    </row>
    <row r="57" spans="2:16" s="12" customFormat="1" x14ac:dyDescent="0.25">
      <c r="B57" s="47">
        <v>44871</v>
      </c>
      <c r="C57" s="27"/>
      <c r="D57" s="27"/>
      <c r="E57" s="27" t="s">
        <v>378</v>
      </c>
      <c r="F57" s="27"/>
      <c r="G57" s="27" t="s">
        <v>433</v>
      </c>
      <c r="H57" s="28"/>
      <c r="I57" s="28"/>
      <c r="J57" s="28"/>
      <c r="K57" s="28">
        <f>Table134711[[#This Row],[Valor de la Factura del Cliente]]*-0.2</f>
        <v>0</v>
      </c>
      <c r="L57" s="28">
        <f>+Table134711[[#This Row],[Valor de la Factura del Cliente]]*-0.05</f>
        <v>0</v>
      </c>
      <c r="M57" s="28"/>
      <c r="N57" s="28"/>
      <c r="O57" s="28">
        <v>-2525</v>
      </c>
      <c r="P57" s="29">
        <f>+Table134711[[#This Row],[Pagado por MVPX]]+Table134711[[#This Row],[Avance]]+P56</f>
        <v>1139.8499999999985</v>
      </c>
    </row>
    <row r="58" spans="2:16" s="12" customFormat="1" x14ac:dyDescent="0.25">
      <c r="B58" s="47">
        <v>44897</v>
      </c>
      <c r="C58" s="27"/>
      <c r="D58" s="27"/>
      <c r="E58" s="27" t="s">
        <v>378</v>
      </c>
      <c r="F58" s="27"/>
      <c r="G58" s="27" t="s">
        <v>433</v>
      </c>
      <c r="H58" s="28"/>
      <c r="I58" s="28"/>
      <c r="J58" s="28"/>
      <c r="K58" s="28">
        <f>Table134711[[#This Row],[Valor de la Factura del Cliente]]*-0.2</f>
        <v>0</v>
      </c>
      <c r="L58" s="28">
        <f>+Table134711[[#This Row],[Valor de la Factura del Cliente]]*-0.05</f>
        <v>0</v>
      </c>
      <c r="M58" s="28"/>
      <c r="N58" s="28"/>
      <c r="O58" s="28">
        <v>-3000</v>
      </c>
      <c r="P58" s="29">
        <f>+Table134711[[#This Row],[Pagado por MVPX]]+Table134711[[#This Row],[Avance]]+P57</f>
        <v>-1860.1500000000015</v>
      </c>
    </row>
    <row r="59" spans="2:16" s="12" customFormat="1" x14ac:dyDescent="0.25">
      <c r="B59" s="47">
        <v>44931</v>
      </c>
      <c r="C59" s="27"/>
      <c r="D59" s="27"/>
      <c r="E59" s="27" t="s">
        <v>378</v>
      </c>
      <c r="F59" s="27"/>
      <c r="G59" s="27" t="s">
        <v>433</v>
      </c>
      <c r="H59" s="28"/>
      <c r="I59" s="28"/>
      <c r="J59" s="28"/>
      <c r="K59" s="28">
        <f>Table134711[[#This Row],[Valor de la Factura del Cliente]]*-0.2</f>
        <v>0</v>
      </c>
      <c r="L59" s="28">
        <f>+Table134711[[#This Row],[Valor de la Factura del Cliente]]*-0.05</f>
        <v>0</v>
      </c>
      <c r="M59" s="28"/>
      <c r="N59" s="28"/>
      <c r="O59" s="28">
        <v>-2500</v>
      </c>
      <c r="P59" s="29">
        <f>+Table134711[[#This Row],[Pagado por MVPX]]+Table134711[[#This Row],[Avance]]+P58</f>
        <v>-4360.1500000000015</v>
      </c>
    </row>
    <row r="60" spans="2:16" s="12" customFormat="1" x14ac:dyDescent="0.25">
      <c r="B60" s="47">
        <v>44964</v>
      </c>
      <c r="C60" s="27"/>
      <c r="D60" s="27"/>
      <c r="E60" s="27" t="s">
        <v>378</v>
      </c>
      <c r="F60" s="27"/>
      <c r="G60" s="27" t="s">
        <v>434</v>
      </c>
      <c r="H60" s="28"/>
      <c r="I60" s="28"/>
      <c r="J60" s="28"/>
      <c r="K60" s="28">
        <f>Table134711[[#This Row],[Valor de la Factura del Cliente]]*-0.2</f>
        <v>0</v>
      </c>
      <c r="L60" s="28">
        <f>+Table134711[[#This Row],[Valor de la Factura del Cliente]]*-0.05</f>
        <v>0</v>
      </c>
      <c r="M60" s="28"/>
      <c r="N60" s="28"/>
      <c r="O60" s="28">
        <v>-2000</v>
      </c>
      <c r="P60" s="29">
        <f>+Table134711[[#This Row],[Pagado por MVPX]]+Table134711[[#This Row],[Avance]]+P59</f>
        <v>-6360.1500000000015</v>
      </c>
    </row>
    <row r="61" spans="2:16" s="12" customFormat="1" x14ac:dyDescent="0.25">
      <c r="B61" s="47">
        <v>44990</v>
      </c>
      <c r="C61" s="27"/>
      <c r="D61" s="27"/>
      <c r="E61" s="27" t="s">
        <v>378</v>
      </c>
      <c r="F61" s="27"/>
      <c r="G61" s="27" t="s">
        <v>434</v>
      </c>
      <c r="H61" s="28"/>
      <c r="I61" s="28"/>
      <c r="J61" s="28"/>
      <c r="K61" s="28">
        <f>Table134711[[#This Row],[Valor de la Factura del Cliente]]*-0.2</f>
        <v>0</v>
      </c>
      <c r="L61" s="28">
        <f>+Table134711[[#This Row],[Valor de la Factura del Cliente]]*-0.05</f>
        <v>0</v>
      </c>
      <c r="M61" s="28"/>
      <c r="N61" s="28"/>
      <c r="O61" s="28">
        <v>-1000</v>
      </c>
      <c r="P61" s="29">
        <f>+Table134711[[#This Row],[Pagado por MVPX]]+Table134711[[#This Row],[Avance]]+P60</f>
        <v>-7360.1500000000015</v>
      </c>
    </row>
    <row r="62" spans="2:16" x14ac:dyDescent="0.45">
      <c r="B62" s="47">
        <v>45032</v>
      </c>
      <c r="C62" s="43"/>
      <c r="D62" s="43"/>
      <c r="E62" s="43" t="s">
        <v>378</v>
      </c>
      <c r="F62" s="43"/>
      <c r="G62" s="43" t="s">
        <v>434</v>
      </c>
      <c r="H62" s="45"/>
      <c r="I62" s="45"/>
      <c r="J62" s="45"/>
      <c r="K62" s="28">
        <f>Table134711[[#This Row],[Valor de la Factura del Cliente]]*-0.2</f>
        <v>0</v>
      </c>
      <c r="L62" s="28">
        <f>+Table134711[[#This Row],[Valor de la Factura del Cliente]]*-0.05</f>
        <v>0</v>
      </c>
      <c r="M62" s="45"/>
      <c r="N62" s="45"/>
      <c r="O62" s="45">
        <v>-500</v>
      </c>
      <c r="P62" s="29">
        <f>+Table134711[[#This Row],[Pagado por MVPX]]+Table134711[[#This Row],[Avance]]+P61</f>
        <v>-7860.1500000000015</v>
      </c>
    </row>
    <row r="63" spans="2:16" x14ac:dyDescent="0.45">
      <c r="B63" s="47">
        <v>45036</v>
      </c>
      <c r="C63" s="43"/>
      <c r="D63" s="43"/>
      <c r="E63" s="43" t="s">
        <v>378</v>
      </c>
      <c r="F63" s="43"/>
      <c r="G63" s="43" t="s">
        <v>434</v>
      </c>
      <c r="H63" s="45"/>
      <c r="I63" s="45"/>
      <c r="J63" s="45"/>
      <c r="K63" s="28">
        <f>Table134711[[#This Row],[Valor de la Factura del Cliente]]*-0.2</f>
        <v>0</v>
      </c>
      <c r="L63" s="28">
        <f>+Table134711[[#This Row],[Valor de la Factura del Cliente]]*-0.05</f>
        <v>0</v>
      </c>
      <c r="M63" s="45"/>
      <c r="N63" s="45"/>
      <c r="O63" s="45">
        <v>-500</v>
      </c>
      <c r="P63" s="29">
        <f>+Table134711[[#This Row],[Pagado por MVPX]]+Table134711[[#This Row],[Avance]]+P62</f>
        <v>-8360.1500000000015</v>
      </c>
    </row>
    <row r="64" spans="2:16" x14ac:dyDescent="0.45">
      <c r="B64" s="47">
        <v>45049</v>
      </c>
      <c r="C64" s="43"/>
      <c r="D64" s="43"/>
      <c r="E64" s="43" t="s">
        <v>378</v>
      </c>
      <c r="F64" s="43"/>
      <c r="G64" s="43" t="s">
        <v>434</v>
      </c>
      <c r="H64" s="45"/>
      <c r="I64" s="45"/>
      <c r="J64" s="45"/>
      <c r="K64" s="28">
        <f>Table134711[[#This Row],[Valor de la Factura del Cliente]]*-0.2</f>
        <v>0</v>
      </c>
      <c r="L64" s="28">
        <f>+Table134711[[#This Row],[Valor de la Factura del Cliente]]*-0.05</f>
        <v>0</v>
      </c>
      <c r="M64" s="45"/>
      <c r="N64" s="45"/>
      <c r="O64" s="45">
        <v>-1025</v>
      </c>
      <c r="P64" s="29">
        <f>+Table134711[[#This Row],[Pagado por MVPX]]+Table134711[[#This Row],[Avance]]+P63</f>
        <v>-9385.1500000000015</v>
      </c>
    </row>
    <row r="65" spans="2:16" x14ac:dyDescent="0.45">
      <c r="B65" s="47">
        <v>45077</v>
      </c>
      <c r="C65" s="43"/>
      <c r="D65" s="43"/>
      <c r="E65" s="43" t="s">
        <v>378</v>
      </c>
      <c r="F65" s="43"/>
      <c r="G65" s="43" t="s">
        <v>434</v>
      </c>
      <c r="H65" s="45"/>
      <c r="I65" s="45"/>
      <c r="J65" s="45"/>
      <c r="K65" s="28">
        <f>Table134711[[#This Row],[Valor de la Factura del Cliente]]*-0.2</f>
        <v>0</v>
      </c>
      <c r="L65" s="28">
        <f>+Table134711[[#This Row],[Valor de la Factura del Cliente]]*-0.05</f>
        <v>0</v>
      </c>
      <c r="M65" s="45"/>
      <c r="N65" s="45"/>
      <c r="O65" s="45">
        <v>-1525</v>
      </c>
      <c r="P65" s="29">
        <f>+Table134711[[#This Row],[Pagado por MVPX]]+Table134711[[#This Row],[Avance]]+P64</f>
        <v>-10910.150000000001</v>
      </c>
    </row>
    <row r="66" spans="2:16" ht="36" x14ac:dyDescent="0.45">
      <c r="B66" s="47">
        <v>45073</v>
      </c>
      <c r="C66" s="43" t="s">
        <v>435</v>
      </c>
      <c r="D66" s="43" t="s">
        <v>372</v>
      </c>
      <c r="E66" s="43"/>
      <c r="F66" s="43"/>
      <c r="G66" s="43" t="s">
        <v>436</v>
      </c>
      <c r="H66" s="45"/>
      <c r="I66" s="45"/>
      <c r="J66" s="45"/>
      <c r="K66" s="28">
        <f>Table134711[[#This Row],[Valor de la Factura del Cliente]]*-0.2</f>
        <v>0</v>
      </c>
      <c r="L66" s="28">
        <f>+Table134711[[#This Row],[Valor de la Factura del Cliente]]*-0.05</f>
        <v>0</v>
      </c>
      <c r="M66" s="45"/>
      <c r="N66" s="45">
        <v>6000</v>
      </c>
      <c r="O66" s="45"/>
      <c r="P66" s="29">
        <f>+Table134711[[#This Row],[Pagado por MVPX]]+Table134711[[#This Row],[Avance]]+P65</f>
        <v>-4910.1500000000015</v>
      </c>
    </row>
    <row r="67" spans="2:16" ht="36" x14ac:dyDescent="0.45">
      <c r="B67" s="47">
        <v>44966</v>
      </c>
      <c r="C67" s="43" t="s">
        <v>437</v>
      </c>
      <c r="D67" s="43" t="s">
        <v>372</v>
      </c>
      <c r="E67" s="43"/>
      <c r="F67" s="43"/>
      <c r="G67" s="43" t="s">
        <v>438</v>
      </c>
      <c r="H67" s="45">
        <v>5000</v>
      </c>
      <c r="I67" s="45"/>
      <c r="J67" s="45"/>
      <c r="K67" s="28">
        <f>Table134711[[#This Row],[Valor de la Factura del Cliente]]*-0.2</f>
        <v>-1000</v>
      </c>
      <c r="L67" s="28">
        <f>+Table134711[[#This Row],[Valor de la Factura del Cliente]]*-0.05</f>
        <v>-250</v>
      </c>
      <c r="M67" s="45"/>
      <c r="N67" s="45">
        <v>3750</v>
      </c>
      <c r="O67" s="45"/>
      <c r="P67" s="29">
        <f>+Table134711[[#This Row],[Pagado por MVPX]]+Table134711[[#This Row],[Avance]]+P66</f>
        <v>-1160.1500000000015</v>
      </c>
    </row>
    <row r="68" spans="2:16" ht="36" x14ac:dyDescent="0.45">
      <c r="B68" s="47">
        <v>45077</v>
      </c>
      <c r="C68" s="43" t="s">
        <v>439</v>
      </c>
      <c r="D68" s="43" t="s">
        <v>372</v>
      </c>
      <c r="E68" s="43"/>
      <c r="F68" s="43"/>
      <c r="G68" s="43" t="s">
        <v>440</v>
      </c>
      <c r="H68" s="45">
        <v>5000</v>
      </c>
      <c r="I68" s="45"/>
      <c r="J68" s="45"/>
      <c r="K68" s="28">
        <f>Table134711[[#This Row],[Valor de la Factura del Cliente]]*-0.2</f>
        <v>-1000</v>
      </c>
      <c r="L68" s="28">
        <f>+Table134711[[#This Row],[Valor de la Factura del Cliente]]*-0.05</f>
        <v>-250</v>
      </c>
      <c r="M68" s="45"/>
      <c r="N68" s="45">
        <v>3750</v>
      </c>
      <c r="O68" s="45"/>
      <c r="P68" s="29">
        <f>+Table134711[[#This Row],[Pagado por MVPX]]+Table134711[[#This Row],[Avance]]+P67</f>
        <v>2589.8499999999985</v>
      </c>
    </row>
    <row r="69" spans="2:16" x14ac:dyDescent="0.45">
      <c r="B69" s="47">
        <v>45093</v>
      </c>
      <c r="C69" s="43"/>
      <c r="D69" s="43"/>
      <c r="E69" s="43" t="s">
        <v>378</v>
      </c>
      <c r="F69" s="43"/>
      <c r="G69" s="43" t="s">
        <v>434</v>
      </c>
      <c r="H69" s="45"/>
      <c r="I69" s="45"/>
      <c r="J69" s="45"/>
      <c r="K69" s="28">
        <f>Table134711[[#This Row],[Valor de la Factura del Cliente]]*-0.2</f>
        <v>0</v>
      </c>
      <c r="L69" s="28">
        <f>+Table134711[[#This Row],[Valor de la Factura del Cliente]]*-0.05</f>
        <v>0</v>
      </c>
      <c r="M69" s="45"/>
      <c r="N69" s="45"/>
      <c r="O69" s="45">
        <v>-1000</v>
      </c>
      <c r="P69" s="29">
        <f>+Table134711[[#This Row],[Pagado por MVPX]]+Table134711[[#This Row],[Avance]]+P68</f>
        <v>1589.8499999999985</v>
      </c>
    </row>
    <row r="70" spans="2:16" x14ac:dyDescent="0.45">
      <c r="B70" s="47">
        <v>45116</v>
      </c>
      <c r="C70" s="43"/>
      <c r="D70" s="43"/>
      <c r="E70" s="43" t="s">
        <v>378</v>
      </c>
      <c r="F70" s="43"/>
      <c r="G70" s="43" t="s">
        <v>434</v>
      </c>
      <c r="H70" s="45"/>
      <c r="I70" s="45"/>
      <c r="J70" s="45"/>
      <c r="K70" s="28">
        <f>Table134711[[#This Row],[Valor de la Factura del Cliente]]*-0.2</f>
        <v>0</v>
      </c>
      <c r="L70" s="28">
        <f>+Table134711[[#This Row],[Valor de la Factura del Cliente]]*-0.05</f>
        <v>0</v>
      </c>
      <c r="M70" s="45"/>
      <c r="N70" s="45"/>
      <c r="O70" s="45">
        <v>-500</v>
      </c>
      <c r="P70" s="29">
        <f>+Table134711[[#This Row],[Pagado por MVPX]]+Table134711[[#This Row],[Avance]]+P69</f>
        <v>1089.8499999999985</v>
      </c>
    </row>
    <row r="71" spans="2:16" x14ac:dyDescent="0.45">
      <c r="B71" s="47">
        <v>45118</v>
      </c>
      <c r="C71" s="43"/>
      <c r="D71" s="43"/>
      <c r="E71" s="43" t="s">
        <v>378</v>
      </c>
      <c r="F71" s="43"/>
      <c r="G71" s="43" t="s">
        <v>434</v>
      </c>
      <c r="H71" s="45"/>
      <c r="I71" s="45"/>
      <c r="J71" s="45"/>
      <c r="K71" s="28">
        <f>Table134711[[#This Row],[Valor de la Factura del Cliente]]*-0.2</f>
        <v>0</v>
      </c>
      <c r="L71" s="28">
        <f>+Table134711[[#This Row],[Valor de la Factura del Cliente]]*-0.05</f>
        <v>0</v>
      </c>
      <c r="M71" s="45"/>
      <c r="N71" s="45"/>
      <c r="O71" s="45">
        <v>-600</v>
      </c>
      <c r="P71" s="29">
        <f>+Table134711[[#This Row],[Pagado por MVPX]]+Table134711[[#This Row],[Avance]]+P70</f>
        <v>489.84999999999854</v>
      </c>
    </row>
    <row r="72" spans="2:16" x14ac:dyDescent="0.45">
      <c r="B72" s="47">
        <v>45183</v>
      </c>
      <c r="C72" s="43"/>
      <c r="D72" s="43"/>
      <c r="E72" s="43" t="s">
        <v>378</v>
      </c>
      <c r="F72" s="43"/>
      <c r="G72" s="43" t="s">
        <v>434</v>
      </c>
      <c r="H72" s="45"/>
      <c r="I72" s="45"/>
      <c r="J72" s="45"/>
      <c r="K72" s="28">
        <f>Table134711[[#This Row],[Valor de la Factura del Cliente]]*-0.2</f>
        <v>0</v>
      </c>
      <c r="L72" s="28">
        <f>+Table134711[[#This Row],[Valor de la Factura del Cliente]]*-0.05</f>
        <v>0</v>
      </c>
      <c r="M72" s="45"/>
      <c r="N72" s="45"/>
      <c r="O72" s="45">
        <v>-700</v>
      </c>
      <c r="P72" s="29">
        <f>+Table134711[[#This Row],[Pagado por MVPX]]+Table134711[[#This Row],[Avance]]+P71</f>
        <v>-210.15000000000146</v>
      </c>
    </row>
    <row r="73" spans="2:16" ht="18.75" thickBot="1" x14ac:dyDescent="0.5">
      <c r="B73" s="47">
        <v>45184</v>
      </c>
      <c r="C73" s="43"/>
      <c r="D73" s="43"/>
      <c r="E73" s="43" t="s">
        <v>378</v>
      </c>
      <c r="F73" s="43"/>
      <c r="G73" s="43" t="s">
        <v>434</v>
      </c>
      <c r="H73" s="45">
        <v>550.74</v>
      </c>
      <c r="I73" s="45"/>
      <c r="J73" s="45"/>
      <c r="K73" s="28">
        <f>Table134711[[#This Row],[Valor de la Factura del Cliente]]*-0.2</f>
        <v>-110.14800000000001</v>
      </c>
      <c r="L73" s="28">
        <f>+Table134711[[#This Row],[Valor de la Factura del Cliente]]*-0.05</f>
        <v>-27.537000000000003</v>
      </c>
      <c r="M73" s="45"/>
      <c r="N73" s="45"/>
      <c r="O73" s="45"/>
      <c r="P73" s="29">
        <f>+Table134711[[#This Row],[Pagado por MVPX]]+Table134711[[#This Row],[Avance]]+P72</f>
        <v>-210.15000000000146</v>
      </c>
    </row>
    <row r="74" spans="2:16" ht="18.75" thickBot="1" x14ac:dyDescent="0.5">
      <c r="B74" s="22"/>
      <c r="C74" s="23"/>
      <c r="D74" s="23"/>
      <c r="E74" s="23"/>
      <c r="F74" s="23"/>
      <c r="G74" s="34" t="s">
        <v>356</v>
      </c>
      <c r="H74" s="35">
        <f>SUBTOTAL(109,Table134711[Valor de la Factura del Cliente])</f>
        <v>47277.909999999996</v>
      </c>
      <c r="I74" s="35">
        <f>SUBTOTAL(109,Table134711[Cargos Bancarios])</f>
        <v>-75</v>
      </c>
      <c r="J74" s="35"/>
      <c r="K74" s="35">
        <f>SUBTOTAL(109,Table134711[20% Comisión])</f>
        <v>-9455.5820000000003</v>
      </c>
      <c r="L74" s="35">
        <f>SUBTOTAL(109,Table134711[5% Legal])</f>
        <v>-2363.8955000000001</v>
      </c>
      <c r="M74" s="35">
        <f>SUBTOTAL(109,Table134711[Retención de Impuestos])</f>
        <v>0</v>
      </c>
      <c r="N74" s="35">
        <f>SUBTOTAL(109,Table134711[Pagado por MVPX])</f>
        <v>57575.119999999995</v>
      </c>
      <c r="O74" s="35">
        <f>SUBTOTAL(109,Table134711[Avance])</f>
        <v>-57785.270000000004</v>
      </c>
      <c r="P74" s="36">
        <f>+P73</f>
        <v>-210.15000000000146</v>
      </c>
    </row>
  </sheetData>
  <mergeCells count="1">
    <mergeCell ref="B7:P7"/>
  </mergeCells>
  <printOptions horizontalCentered="1"/>
  <pageMargins left="0.25" right="0.25" top="0.75" bottom="0.75" header="0.3" footer="0.3"/>
  <pageSetup scale="50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6AD6-18F0-4FBC-8057-7E8F77281024}">
  <sheetPr>
    <pageSetUpPr fitToPage="1"/>
  </sheetPr>
  <dimension ref="B1:P78"/>
  <sheetViews>
    <sheetView showGridLines="0" view="pageLayout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6.42578125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4.5703125" style="8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47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51" t="s">
        <v>443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MIN(Table134712[Fecha])</f>
        <v>43731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MAX(Table134712[Fecha])</f>
        <v>45467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36" x14ac:dyDescent="0.25">
      <c r="B9" s="46">
        <v>44046</v>
      </c>
      <c r="C9" s="24"/>
      <c r="D9" s="24"/>
      <c r="E9" s="24"/>
      <c r="F9" s="24" t="s">
        <v>444</v>
      </c>
      <c r="G9" s="24" t="s">
        <v>453</v>
      </c>
      <c r="H9" s="25">
        <v>2500</v>
      </c>
      <c r="I9" s="25">
        <v>-15</v>
      </c>
      <c r="J9" s="25"/>
      <c r="K9" s="25">
        <f>Table134712[[#This Row],[Valor de la Factura del Cliente]]*-0.2</f>
        <v>-500</v>
      </c>
      <c r="L9" s="25">
        <f>+Table134712[[#This Row],[Valor de la Factura del Cliente]]*-0.05</f>
        <v>-125</v>
      </c>
      <c r="M9" s="25"/>
      <c r="N9" s="25">
        <v>1860</v>
      </c>
      <c r="O9" s="25"/>
      <c r="P9" s="26">
        <f>+Table134712[[#This Row],[Pagado por MVPX]]-Table134712[[#This Row],[Avance]]</f>
        <v>1860</v>
      </c>
    </row>
    <row r="10" spans="2:16" s="12" customFormat="1" x14ac:dyDescent="0.25">
      <c r="B10" s="47">
        <v>44043</v>
      </c>
      <c r="C10" s="27"/>
      <c r="D10" s="27"/>
      <c r="E10" s="27"/>
      <c r="F10" s="27" t="s">
        <v>445</v>
      </c>
      <c r="G10" s="27" t="s">
        <v>454</v>
      </c>
      <c r="H10" s="28">
        <v>3000</v>
      </c>
      <c r="I10" s="28"/>
      <c r="J10" s="25"/>
      <c r="K10" s="25">
        <f>Table134712[[#This Row],[Valor de la Factura del Cliente]]*-0.2</f>
        <v>-600</v>
      </c>
      <c r="L10" s="25">
        <f>+Table134712[[#This Row],[Valor de la Factura del Cliente]]*-0.05</f>
        <v>-150</v>
      </c>
      <c r="M10" s="28"/>
      <c r="N10" s="25">
        <v>2500</v>
      </c>
      <c r="O10" s="28"/>
      <c r="P10" s="29">
        <f>+Table134712[[#This Row],[Pagado por MVPX]]+P9-Table134712[[#This Row],[Avance]]</f>
        <v>4360</v>
      </c>
    </row>
    <row r="11" spans="2:16" s="12" customFormat="1" ht="54" x14ac:dyDescent="0.25">
      <c r="B11" s="47">
        <v>44206</v>
      </c>
      <c r="C11" s="27"/>
      <c r="D11" s="27"/>
      <c r="E11" s="27"/>
      <c r="F11" s="27" t="s">
        <v>446</v>
      </c>
      <c r="G11" s="27" t="s">
        <v>455</v>
      </c>
      <c r="H11" s="28">
        <v>3000</v>
      </c>
      <c r="I11" s="28">
        <v>-15</v>
      </c>
      <c r="J11" s="25"/>
      <c r="K11" s="25">
        <f>Table134712[[#This Row],[Valor de la Factura del Cliente]]*-0.2</f>
        <v>-600</v>
      </c>
      <c r="L11" s="25">
        <f>+Table134712[[#This Row],[Valor de la Factura del Cliente]]*-0.05</f>
        <v>-150</v>
      </c>
      <c r="M11" s="28"/>
      <c r="N11" s="25">
        <v>2235</v>
      </c>
      <c r="O11" s="28"/>
      <c r="P11" s="29">
        <f>+Table134712[[#This Row],[Pagado por MVPX]]+P10-Table134712[[#This Row],[Avance]]</f>
        <v>6595</v>
      </c>
    </row>
    <row r="12" spans="2:16" s="12" customFormat="1" x14ac:dyDescent="0.25">
      <c r="B12" s="47">
        <v>44831</v>
      </c>
      <c r="C12" s="27"/>
      <c r="D12" s="27"/>
      <c r="E12" s="27"/>
      <c r="F12" s="27" t="s">
        <v>447</v>
      </c>
      <c r="G12" s="27" t="s">
        <v>456</v>
      </c>
      <c r="H12" s="28">
        <v>3000</v>
      </c>
      <c r="I12" s="28"/>
      <c r="J12" s="25"/>
      <c r="K12" s="25">
        <f>Table134712[[#This Row],[Valor de la Factura del Cliente]]*-0.2</f>
        <v>-600</v>
      </c>
      <c r="L12" s="25">
        <f>+Table134712[[#This Row],[Valor de la Factura del Cliente]]*-0.05</f>
        <v>-150</v>
      </c>
      <c r="M12" s="28"/>
      <c r="N12" s="25">
        <v>2250</v>
      </c>
      <c r="O12" s="28"/>
      <c r="P12" s="29">
        <f>+Table134712[[#This Row],[Pagado por MVPX]]+P11-Table134712[[#This Row],[Avance]]</f>
        <v>8845</v>
      </c>
    </row>
    <row r="13" spans="2:16" s="12" customFormat="1" x14ac:dyDescent="0.25">
      <c r="B13" s="47">
        <v>43731</v>
      </c>
      <c r="C13" s="27"/>
      <c r="D13" s="27"/>
      <c r="E13" s="27"/>
      <c r="F13" s="27" t="s">
        <v>447</v>
      </c>
      <c r="G13" s="27" t="s">
        <v>457</v>
      </c>
      <c r="H13" s="28"/>
      <c r="I13" s="28"/>
      <c r="J13" s="25"/>
      <c r="K13" s="25">
        <f>Table134712[[#This Row],[Valor de la Factura del Cliente]]*-0.2</f>
        <v>0</v>
      </c>
      <c r="L13" s="25">
        <f>+Table134712[[#This Row],[Valor de la Factura del Cliente]]*-0.05</f>
        <v>0</v>
      </c>
      <c r="M13" s="28"/>
      <c r="N13" s="25"/>
      <c r="O13" s="28">
        <v>66</v>
      </c>
      <c r="P13" s="29">
        <f>+Table134712[[#This Row],[Pagado por MVPX]]+P12-Table134712[[#This Row],[Avance]]</f>
        <v>8779</v>
      </c>
    </row>
    <row r="14" spans="2:16" s="12" customFormat="1" x14ac:dyDescent="0.25">
      <c r="B14" s="47">
        <v>44196</v>
      </c>
      <c r="C14" s="27"/>
      <c r="D14" s="27"/>
      <c r="E14" s="27"/>
      <c r="F14" s="27" t="s">
        <v>448</v>
      </c>
      <c r="G14" s="27" t="s">
        <v>458</v>
      </c>
      <c r="H14" s="28">
        <v>1702.61</v>
      </c>
      <c r="I14" s="28"/>
      <c r="J14" s="25"/>
      <c r="K14" s="25">
        <f>Table134712[[#This Row],[Valor de la Factura del Cliente]]*-0.2</f>
        <v>-340.52199999999999</v>
      </c>
      <c r="L14" s="25">
        <f>+Table134712[[#This Row],[Valor de la Factura del Cliente]]*-0.05</f>
        <v>-85.130499999999998</v>
      </c>
      <c r="M14" s="28"/>
      <c r="N14" s="25">
        <v>1276.9575</v>
      </c>
      <c r="O14" s="28"/>
      <c r="P14" s="29">
        <f>+Table134712[[#This Row],[Pagado por MVPX]]+P13-Table134712[[#This Row],[Avance]]</f>
        <v>10055.9575</v>
      </c>
    </row>
    <row r="15" spans="2:16" s="12" customFormat="1" ht="36" x14ac:dyDescent="0.25">
      <c r="B15" s="47">
        <v>44056</v>
      </c>
      <c r="C15" s="27"/>
      <c r="D15" s="27"/>
      <c r="E15" s="27"/>
      <c r="F15" s="27"/>
      <c r="G15" s="27" t="s">
        <v>459</v>
      </c>
      <c r="H15" s="28"/>
      <c r="I15" s="28"/>
      <c r="J15" s="25"/>
      <c r="K15" s="25">
        <f>Table134712[[#This Row],[Valor de la Factura del Cliente]]*-0.2</f>
        <v>0</v>
      </c>
      <c r="L15" s="25">
        <f>+Table134712[[#This Row],[Valor de la Factura del Cliente]]*-0.05</f>
        <v>0</v>
      </c>
      <c r="M15" s="28"/>
      <c r="N15" s="25"/>
      <c r="O15" s="28">
        <v>2487.16</v>
      </c>
      <c r="P15" s="29">
        <f>+Table134712[[#This Row],[Pagado por MVPX]]+P14-Table134712[[#This Row],[Avance]]</f>
        <v>7568.7975000000006</v>
      </c>
    </row>
    <row r="16" spans="2:16" s="12" customFormat="1" x14ac:dyDescent="0.25">
      <c r="B16" s="47">
        <v>44063</v>
      </c>
      <c r="C16" s="27"/>
      <c r="D16" s="27"/>
      <c r="E16" s="27"/>
      <c r="F16" s="27" t="s">
        <v>449</v>
      </c>
      <c r="G16" s="27" t="s">
        <v>460</v>
      </c>
      <c r="H16" s="28"/>
      <c r="I16" s="28"/>
      <c r="J16" s="25"/>
      <c r="K16" s="25">
        <f>Table134712[[#This Row],[Valor de la Factura del Cliente]]*-0.2</f>
        <v>0</v>
      </c>
      <c r="L16" s="25">
        <f>+Table134712[[#This Row],[Valor de la Factura del Cliente]]*-0.05</f>
        <v>0</v>
      </c>
      <c r="M16" s="28"/>
      <c r="N16" s="25"/>
      <c r="O16" s="28">
        <v>28</v>
      </c>
      <c r="P16" s="29">
        <f>+Table134712[[#This Row],[Pagado por MVPX]]+P15-Table134712[[#This Row],[Avance]]</f>
        <v>7540.7975000000006</v>
      </c>
    </row>
    <row r="17" spans="2:16" s="12" customFormat="1" x14ac:dyDescent="0.25">
      <c r="B17" s="47">
        <v>44124</v>
      </c>
      <c r="C17" s="27"/>
      <c r="D17" s="27"/>
      <c r="E17" s="27"/>
      <c r="F17" s="27" t="s">
        <v>449</v>
      </c>
      <c r="G17" s="27" t="s">
        <v>460</v>
      </c>
      <c r="H17" s="28"/>
      <c r="I17" s="28"/>
      <c r="J17" s="25"/>
      <c r="K17" s="25">
        <f>Table134712[[#This Row],[Valor de la Factura del Cliente]]*-0.2</f>
        <v>0</v>
      </c>
      <c r="L17" s="25">
        <f>+Table134712[[#This Row],[Valor de la Factura del Cliente]]*-0.05</f>
        <v>0</v>
      </c>
      <c r="M17" s="28"/>
      <c r="N17" s="25"/>
      <c r="O17" s="28">
        <v>28</v>
      </c>
      <c r="P17" s="29">
        <f>+Table134712[[#This Row],[Pagado por MVPX]]+P16-Table134712[[#This Row],[Avance]]</f>
        <v>7512.7975000000006</v>
      </c>
    </row>
    <row r="18" spans="2:16" s="12" customFormat="1" x14ac:dyDescent="0.25">
      <c r="B18" s="47">
        <v>44062</v>
      </c>
      <c r="C18" s="27"/>
      <c r="D18" s="27"/>
      <c r="E18" s="27"/>
      <c r="F18" s="27" t="s">
        <v>450</v>
      </c>
      <c r="G18" s="27" t="s">
        <v>461</v>
      </c>
      <c r="H18" s="28"/>
      <c r="I18" s="28"/>
      <c r="J18" s="25"/>
      <c r="K18" s="25">
        <f>Table134712[[#This Row],[Valor de la Factura del Cliente]]*-0.2</f>
        <v>0</v>
      </c>
      <c r="L18" s="25">
        <f>+Table134712[[#This Row],[Valor de la Factura del Cliente]]*-0.05</f>
        <v>0</v>
      </c>
      <c r="M18" s="28"/>
      <c r="N18" s="25"/>
      <c r="O18" s="28">
        <v>98.19</v>
      </c>
      <c r="P18" s="29">
        <f>+Table134712[[#This Row],[Pagado por MVPX]]+P17-Table134712[[#This Row],[Avance]]</f>
        <v>7414.607500000001</v>
      </c>
    </row>
    <row r="19" spans="2:16" s="12" customFormat="1" ht="54" x14ac:dyDescent="0.25">
      <c r="B19" s="47">
        <v>44064</v>
      </c>
      <c r="C19" s="27"/>
      <c r="D19" s="27"/>
      <c r="E19" s="27"/>
      <c r="F19" s="27" t="s">
        <v>451</v>
      </c>
      <c r="G19" s="27" t="s">
        <v>462</v>
      </c>
      <c r="H19" s="28"/>
      <c r="I19" s="28"/>
      <c r="J19" s="25"/>
      <c r="K19" s="25">
        <f>Table134712[[#This Row],[Valor de la Factura del Cliente]]*-0.2</f>
        <v>0</v>
      </c>
      <c r="L19" s="25">
        <f>+Table134712[[#This Row],[Valor de la Factura del Cliente]]*-0.05</f>
        <v>0</v>
      </c>
      <c r="M19" s="28"/>
      <c r="N19" s="25"/>
      <c r="O19" s="28">
        <v>48.79</v>
      </c>
      <c r="P19" s="29">
        <f>+Table134712[[#This Row],[Pagado por MVPX]]+P18-Table134712[[#This Row],[Avance]]</f>
        <v>7365.817500000001</v>
      </c>
    </row>
    <row r="20" spans="2:16" s="12" customFormat="1" ht="54" x14ac:dyDescent="0.25">
      <c r="B20" s="47">
        <v>44064</v>
      </c>
      <c r="C20" s="27"/>
      <c r="D20" s="27"/>
      <c r="E20" s="27"/>
      <c r="F20" s="27" t="s">
        <v>451</v>
      </c>
      <c r="G20" s="27" t="s">
        <v>463</v>
      </c>
      <c r="H20" s="28"/>
      <c r="I20" s="28"/>
      <c r="J20" s="25"/>
      <c r="K20" s="25">
        <f>Table134712[[#This Row],[Valor de la Factura del Cliente]]*-0.2</f>
        <v>0</v>
      </c>
      <c r="L20" s="25">
        <f>+Table134712[[#This Row],[Valor de la Factura del Cliente]]*-0.05</f>
        <v>0</v>
      </c>
      <c r="M20" s="28"/>
      <c r="N20" s="25"/>
      <c r="O20" s="28">
        <v>500</v>
      </c>
      <c r="P20" s="29">
        <f>+Table134712[[#This Row],[Pagado por MVPX]]+P19-Table134712[[#This Row],[Avance]]</f>
        <v>6865.817500000001</v>
      </c>
    </row>
    <row r="21" spans="2:16" s="12" customFormat="1" ht="54" x14ac:dyDescent="0.25">
      <c r="B21" s="47">
        <v>44047</v>
      </c>
      <c r="C21" s="27"/>
      <c r="D21" s="27"/>
      <c r="E21" s="27"/>
      <c r="F21" s="27" t="s">
        <v>452</v>
      </c>
      <c r="G21" s="27" t="s">
        <v>464</v>
      </c>
      <c r="H21" s="28"/>
      <c r="I21" s="28"/>
      <c r="J21" s="25"/>
      <c r="K21" s="25">
        <f>Table134712[[#This Row],[Valor de la Factura del Cliente]]*-0.2</f>
        <v>0</v>
      </c>
      <c r="L21" s="25">
        <f>+Table134712[[#This Row],[Valor de la Factura del Cliente]]*-0.05</f>
        <v>0</v>
      </c>
      <c r="M21" s="28"/>
      <c r="N21" s="25"/>
      <c r="O21" s="28">
        <v>308</v>
      </c>
      <c r="P21" s="29">
        <f>+Table134712[[#This Row],[Pagado por MVPX]]+P20-Table134712[[#This Row],[Avance]]</f>
        <v>6557.817500000001</v>
      </c>
    </row>
    <row r="22" spans="2:16" s="12" customFormat="1" ht="54" x14ac:dyDescent="0.25">
      <c r="B22" s="47">
        <v>44037</v>
      </c>
      <c r="C22" s="27"/>
      <c r="D22" s="27"/>
      <c r="E22" s="27"/>
      <c r="F22" s="27"/>
      <c r="G22" s="27" t="s">
        <v>465</v>
      </c>
      <c r="H22" s="28"/>
      <c r="I22" s="28"/>
      <c r="J22" s="25"/>
      <c r="K22" s="25">
        <f>Table134712[[#This Row],[Valor de la Factura del Cliente]]*-0.2</f>
        <v>0</v>
      </c>
      <c r="L22" s="25">
        <f>+Table134712[[#This Row],[Valor de la Factura del Cliente]]*-0.05</f>
        <v>0</v>
      </c>
      <c r="M22" s="28"/>
      <c r="N22" s="25"/>
      <c r="O22" s="28">
        <v>2443</v>
      </c>
      <c r="P22" s="29">
        <f>+Table134712[[#This Row],[Pagado por MVPX]]+P21-Table134712[[#This Row],[Avance]]</f>
        <v>4114.817500000001</v>
      </c>
    </row>
    <row r="23" spans="2:16" s="12" customFormat="1" x14ac:dyDescent="0.25">
      <c r="B23" s="47">
        <v>44093</v>
      </c>
      <c r="C23" s="27"/>
      <c r="D23" s="27"/>
      <c r="E23" s="27"/>
      <c r="F23" s="27"/>
      <c r="G23" s="27" t="s">
        <v>466</v>
      </c>
      <c r="H23" s="28"/>
      <c r="I23" s="28"/>
      <c r="J23" s="25"/>
      <c r="K23" s="25">
        <f>Table134712[[#This Row],[Valor de la Factura del Cliente]]*-0.2</f>
        <v>0</v>
      </c>
      <c r="L23" s="25">
        <f>+Table134712[[#This Row],[Valor de la Factura del Cliente]]*-0.05</f>
        <v>0</v>
      </c>
      <c r="M23" s="28"/>
      <c r="N23" s="25"/>
      <c r="O23" s="28">
        <v>161</v>
      </c>
      <c r="P23" s="29">
        <f>+Table134712[[#This Row],[Pagado por MVPX]]+P22-Table134712[[#This Row],[Avance]]</f>
        <v>3953.817500000001</v>
      </c>
    </row>
    <row r="24" spans="2:16" s="12" customFormat="1" x14ac:dyDescent="0.25">
      <c r="B24" s="47">
        <v>44094</v>
      </c>
      <c r="C24" s="27"/>
      <c r="D24" s="27"/>
      <c r="E24" s="27"/>
      <c r="F24" s="27"/>
      <c r="G24" s="27" t="s">
        <v>466</v>
      </c>
      <c r="H24" s="28"/>
      <c r="I24" s="28"/>
      <c r="J24" s="25"/>
      <c r="K24" s="25">
        <f>Table134712[[#This Row],[Valor de la Factura del Cliente]]*-0.2</f>
        <v>0</v>
      </c>
      <c r="L24" s="25">
        <f>+Table134712[[#This Row],[Valor de la Factura del Cliente]]*-0.05</f>
        <v>0</v>
      </c>
      <c r="M24" s="28"/>
      <c r="N24" s="25"/>
      <c r="O24" s="28">
        <v>161</v>
      </c>
      <c r="P24" s="29">
        <f>+Table134712[[#This Row],[Pagado por MVPX]]+P23-Table134712[[#This Row],[Avance]]</f>
        <v>3792.817500000001</v>
      </c>
    </row>
    <row r="25" spans="2:16" s="12" customFormat="1" x14ac:dyDescent="0.25">
      <c r="B25" s="47">
        <v>44112</v>
      </c>
      <c r="C25" s="27"/>
      <c r="D25" s="27"/>
      <c r="E25" s="27"/>
      <c r="F25" s="27"/>
      <c r="G25" s="27" t="s">
        <v>467</v>
      </c>
      <c r="H25" s="28"/>
      <c r="I25" s="28"/>
      <c r="J25" s="25"/>
      <c r="K25" s="25">
        <f>Table134712[[#This Row],[Valor de la Factura del Cliente]]*-0.2</f>
        <v>0</v>
      </c>
      <c r="L25" s="25">
        <f>+Table134712[[#This Row],[Valor de la Factura del Cliente]]*-0.05</f>
        <v>0</v>
      </c>
      <c r="M25" s="28"/>
      <c r="N25" s="25"/>
      <c r="O25" s="28">
        <v>311</v>
      </c>
      <c r="P25" s="29">
        <f>+Table134712[[#This Row],[Pagado por MVPX]]+P24-Table134712[[#This Row],[Avance]]</f>
        <v>3481.817500000001</v>
      </c>
    </row>
    <row r="26" spans="2:16" s="12" customFormat="1" x14ac:dyDescent="0.25">
      <c r="B26" s="47">
        <v>44123</v>
      </c>
      <c r="C26" s="27"/>
      <c r="D26" s="27"/>
      <c r="E26" s="27"/>
      <c r="F26" s="27"/>
      <c r="G26" s="27" t="s">
        <v>468</v>
      </c>
      <c r="H26" s="28"/>
      <c r="I26" s="28"/>
      <c r="J26" s="25"/>
      <c r="K26" s="25">
        <f>Table134712[[#This Row],[Valor de la Factura del Cliente]]*-0.2</f>
        <v>0</v>
      </c>
      <c r="L26" s="25">
        <f>+Table134712[[#This Row],[Valor de la Factura del Cliente]]*-0.05</f>
        <v>0</v>
      </c>
      <c r="M26" s="28"/>
      <c r="N26" s="25"/>
      <c r="O26" s="28">
        <v>311</v>
      </c>
      <c r="P26" s="29">
        <f>+Table134712[[#This Row],[Pagado por MVPX]]+P25-Table134712[[#This Row],[Avance]]</f>
        <v>3170.817500000001</v>
      </c>
    </row>
    <row r="27" spans="2:16" s="12" customFormat="1" x14ac:dyDescent="0.25">
      <c r="B27" s="47">
        <v>44131</v>
      </c>
      <c r="C27" s="27"/>
      <c r="D27" s="27"/>
      <c r="E27" s="27"/>
      <c r="F27" s="27"/>
      <c r="G27" s="27" t="s">
        <v>468</v>
      </c>
      <c r="H27" s="28"/>
      <c r="I27" s="28"/>
      <c r="J27" s="25"/>
      <c r="K27" s="25">
        <f>Table134712[[#This Row],[Valor de la Factura del Cliente]]*-0.2</f>
        <v>0</v>
      </c>
      <c r="L27" s="25">
        <f>+Table134712[[#This Row],[Valor de la Factura del Cliente]]*-0.05</f>
        <v>0</v>
      </c>
      <c r="M27" s="28"/>
      <c r="N27" s="25"/>
      <c r="O27" s="28">
        <v>500</v>
      </c>
      <c r="P27" s="29">
        <f>+Table134712[[#This Row],[Pagado por MVPX]]+P26-Table134712[[#This Row],[Avance]]</f>
        <v>2670.817500000001</v>
      </c>
    </row>
    <row r="28" spans="2:16" s="12" customFormat="1" x14ac:dyDescent="0.25">
      <c r="B28" s="47">
        <v>44172</v>
      </c>
      <c r="C28" s="27"/>
      <c r="D28" s="27"/>
      <c r="E28" s="27"/>
      <c r="F28" s="27"/>
      <c r="G28" s="27" t="s">
        <v>467</v>
      </c>
      <c r="H28" s="28"/>
      <c r="I28" s="28"/>
      <c r="J28" s="25"/>
      <c r="K28" s="25">
        <f>Table134712[[#This Row],[Valor de la Factura del Cliente]]*-0.2</f>
        <v>0</v>
      </c>
      <c r="L28" s="25">
        <f>+Table134712[[#This Row],[Valor de la Factura del Cliente]]*-0.05</f>
        <v>0</v>
      </c>
      <c r="M28" s="28"/>
      <c r="N28" s="25"/>
      <c r="O28" s="28">
        <v>721</v>
      </c>
      <c r="P28" s="29">
        <f>+Table134712[[#This Row],[Pagado por MVPX]]+P27-Table134712[[#This Row],[Avance]]</f>
        <v>1949.817500000001</v>
      </c>
    </row>
    <row r="29" spans="2:16" s="12" customFormat="1" x14ac:dyDescent="0.25">
      <c r="B29" s="47">
        <v>44207</v>
      </c>
      <c r="C29" s="27"/>
      <c r="D29" s="27"/>
      <c r="E29" s="27"/>
      <c r="F29" s="27"/>
      <c r="G29" s="27" t="s">
        <v>467</v>
      </c>
      <c r="H29" s="28"/>
      <c r="I29" s="28"/>
      <c r="J29" s="25"/>
      <c r="K29" s="25">
        <f>Table134712[[#This Row],[Valor de la Factura del Cliente]]*-0.2</f>
        <v>0</v>
      </c>
      <c r="L29" s="25">
        <f>+Table134712[[#This Row],[Valor de la Factura del Cliente]]*-0.05</f>
        <v>0</v>
      </c>
      <c r="M29" s="28"/>
      <c r="N29" s="25"/>
      <c r="O29" s="28">
        <v>796</v>
      </c>
      <c r="P29" s="29">
        <f>+Table134712[[#This Row],[Pagado por MVPX]]+P28-Table134712[[#This Row],[Avance]]</f>
        <v>1153.817500000001</v>
      </c>
    </row>
    <row r="30" spans="2:16" s="12" customFormat="1" x14ac:dyDescent="0.25">
      <c r="B30" s="47">
        <v>44228</v>
      </c>
      <c r="C30" s="27"/>
      <c r="D30" s="27"/>
      <c r="E30" s="27"/>
      <c r="F30" s="27"/>
      <c r="G30" s="27" t="s">
        <v>467</v>
      </c>
      <c r="H30" s="28"/>
      <c r="I30" s="28"/>
      <c r="J30" s="25"/>
      <c r="K30" s="25">
        <f>Table134712[[#This Row],[Valor de la Factura del Cliente]]*-0.2</f>
        <v>0</v>
      </c>
      <c r="L30" s="25">
        <f>+Table134712[[#This Row],[Valor de la Factura del Cliente]]*-0.05</f>
        <v>0</v>
      </c>
      <c r="M30" s="28"/>
      <c r="N30" s="25"/>
      <c r="O30" s="28">
        <v>478</v>
      </c>
      <c r="P30" s="29">
        <f>+Table134712[[#This Row],[Pagado por MVPX]]+P29-Table134712[[#This Row],[Avance]]</f>
        <v>675.81750000000102</v>
      </c>
    </row>
    <row r="31" spans="2:16" s="12" customFormat="1" x14ac:dyDescent="0.25">
      <c r="B31" s="47">
        <v>44228</v>
      </c>
      <c r="C31" s="27"/>
      <c r="D31" s="27"/>
      <c r="E31" s="27"/>
      <c r="F31" s="27"/>
      <c r="G31" s="27" t="s">
        <v>467</v>
      </c>
      <c r="H31" s="28"/>
      <c r="I31" s="28"/>
      <c r="J31" s="25"/>
      <c r="K31" s="25">
        <f>Table134712[[#This Row],[Valor de la Factura del Cliente]]*-0.2</f>
        <v>0</v>
      </c>
      <c r="L31" s="25">
        <f>+Table134712[[#This Row],[Valor de la Factura del Cliente]]*-0.05</f>
        <v>0</v>
      </c>
      <c r="M31" s="28"/>
      <c r="N31" s="25"/>
      <c r="O31" s="28">
        <v>1404</v>
      </c>
      <c r="P31" s="29">
        <f>+Table134712[[#This Row],[Pagado por MVPX]]+P30-Table134712[[#This Row],[Avance]]</f>
        <v>-728.18249999999898</v>
      </c>
    </row>
    <row r="32" spans="2:16" s="12" customFormat="1" x14ac:dyDescent="0.25">
      <c r="B32" s="47">
        <v>44252</v>
      </c>
      <c r="C32" s="27"/>
      <c r="D32" s="27"/>
      <c r="E32" s="27"/>
      <c r="F32" s="27"/>
      <c r="G32" s="27" t="s">
        <v>467</v>
      </c>
      <c r="H32" s="28"/>
      <c r="I32" s="28"/>
      <c r="J32" s="25"/>
      <c r="K32" s="25">
        <f>Table134712[[#This Row],[Valor de la Factura del Cliente]]*-0.2</f>
        <v>0</v>
      </c>
      <c r="L32" s="25">
        <f>+Table134712[[#This Row],[Valor de la Factura del Cliente]]*-0.05</f>
        <v>0</v>
      </c>
      <c r="M32" s="28"/>
      <c r="N32" s="25"/>
      <c r="O32" s="28">
        <v>165</v>
      </c>
      <c r="P32" s="29">
        <f>+Table134712[[#This Row],[Pagado por MVPX]]+P31-Table134712[[#This Row],[Avance]]</f>
        <v>-893.18249999999898</v>
      </c>
    </row>
    <row r="33" spans="2:16" s="12" customFormat="1" x14ac:dyDescent="0.25">
      <c r="B33" s="47">
        <v>44264</v>
      </c>
      <c r="C33" s="27"/>
      <c r="D33" s="27"/>
      <c r="E33" s="27"/>
      <c r="F33" s="27"/>
      <c r="G33" s="27" t="s">
        <v>467</v>
      </c>
      <c r="H33" s="28"/>
      <c r="I33" s="28"/>
      <c r="J33" s="25"/>
      <c r="K33" s="25">
        <f>Table134712[[#This Row],[Valor de la Factura del Cliente]]*-0.2</f>
        <v>0</v>
      </c>
      <c r="L33" s="25">
        <f>+Table134712[[#This Row],[Valor de la Factura del Cliente]]*-0.05</f>
        <v>0</v>
      </c>
      <c r="M33" s="28"/>
      <c r="N33" s="25"/>
      <c r="O33" s="28">
        <v>205</v>
      </c>
      <c r="P33" s="29">
        <f>+Table134712[[#This Row],[Pagado por MVPX]]+P32-Table134712[[#This Row],[Avance]]</f>
        <v>-1098.182499999999</v>
      </c>
    </row>
    <row r="34" spans="2:16" s="12" customFormat="1" x14ac:dyDescent="0.25">
      <c r="B34" s="47">
        <v>44284</v>
      </c>
      <c r="C34" s="27"/>
      <c r="D34" s="27"/>
      <c r="E34" s="27"/>
      <c r="F34" s="27"/>
      <c r="G34" s="27" t="s">
        <v>467</v>
      </c>
      <c r="H34" s="28"/>
      <c r="I34" s="28"/>
      <c r="J34" s="25"/>
      <c r="K34" s="25">
        <f>Table134712[[#This Row],[Valor de la Factura del Cliente]]*-0.2</f>
        <v>0</v>
      </c>
      <c r="L34" s="25">
        <f>+Table134712[[#This Row],[Valor de la Factura del Cliente]]*-0.05</f>
        <v>0</v>
      </c>
      <c r="M34" s="28"/>
      <c r="N34" s="25"/>
      <c r="O34" s="28">
        <v>317</v>
      </c>
      <c r="P34" s="29">
        <f>+Table134712[[#This Row],[Pagado por MVPX]]+P33-Table134712[[#This Row],[Avance]]</f>
        <v>-1415.182499999999</v>
      </c>
    </row>
    <row r="35" spans="2:16" s="12" customFormat="1" x14ac:dyDescent="0.25">
      <c r="B35" s="47">
        <v>44348</v>
      </c>
      <c r="C35" s="27"/>
      <c r="D35" s="27"/>
      <c r="E35" s="27"/>
      <c r="F35" s="27"/>
      <c r="G35" s="27" t="s">
        <v>467</v>
      </c>
      <c r="H35" s="28"/>
      <c r="I35" s="28"/>
      <c r="J35" s="25"/>
      <c r="K35" s="25">
        <f>Table134712[[#This Row],[Valor de la Factura del Cliente]]*-0.2</f>
        <v>0</v>
      </c>
      <c r="L35" s="25">
        <f>+Table134712[[#This Row],[Valor de la Factura del Cliente]]*-0.05</f>
        <v>0</v>
      </c>
      <c r="M35" s="28"/>
      <c r="N35" s="25"/>
      <c r="O35" s="28">
        <v>108</v>
      </c>
      <c r="P35" s="29">
        <f>+Table134712[[#This Row],[Pagado por MVPX]]+P34-Table134712[[#This Row],[Avance]]</f>
        <v>-1523.182499999999</v>
      </c>
    </row>
    <row r="36" spans="2:16" s="12" customFormat="1" x14ac:dyDescent="0.25">
      <c r="B36" s="47">
        <v>44446</v>
      </c>
      <c r="C36" s="27"/>
      <c r="D36" s="27"/>
      <c r="E36" s="27"/>
      <c r="F36" s="27"/>
      <c r="G36" s="27" t="s">
        <v>467</v>
      </c>
      <c r="H36" s="28"/>
      <c r="I36" s="28"/>
      <c r="J36" s="25"/>
      <c r="K36" s="25">
        <f>Table134712[[#This Row],[Valor de la Factura del Cliente]]*-0.2</f>
        <v>0</v>
      </c>
      <c r="L36" s="25">
        <f>+Table134712[[#This Row],[Valor de la Factura del Cliente]]*-0.05</f>
        <v>0</v>
      </c>
      <c r="M36" s="28"/>
      <c r="N36" s="25"/>
      <c r="O36" s="28">
        <v>108</v>
      </c>
      <c r="P36" s="29">
        <f>+Table134712[[#This Row],[Pagado por MVPX]]+P35-Table134712[[#This Row],[Avance]]</f>
        <v>-1631.182499999999</v>
      </c>
    </row>
    <row r="37" spans="2:16" s="12" customFormat="1" x14ac:dyDescent="0.25">
      <c r="B37" s="47">
        <v>44540</v>
      </c>
      <c r="C37" s="27"/>
      <c r="D37" s="27"/>
      <c r="E37" s="27"/>
      <c r="F37" s="27"/>
      <c r="G37" s="27" t="s">
        <v>467</v>
      </c>
      <c r="H37" s="28"/>
      <c r="I37" s="28"/>
      <c r="J37" s="25"/>
      <c r="K37" s="25">
        <f>Table134712[[#This Row],[Valor de la Factura del Cliente]]*-0.2</f>
        <v>0</v>
      </c>
      <c r="L37" s="25">
        <f>+Table134712[[#This Row],[Valor de la Factura del Cliente]]*-0.05</f>
        <v>0</v>
      </c>
      <c r="M37" s="28"/>
      <c r="N37" s="25"/>
      <c r="O37" s="28">
        <v>1000</v>
      </c>
      <c r="P37" s="29">
        <f>+Table134712[[#This Row],[Pagado por MVPX]]+P36-Table134712[[#This Row],[Avance]]</f>
        <v>-2631.182499999999</v>
      </c>
    </row>
    <row r="38" spans="2:16" s="12" customFormat="1" x14ac:dyDescent="0.25">
      <c r="B38" s="47">
        <v>44685</v>
      </c>
      <c r="C38" s="27"/>
      <c r="D38" s="27"/>
      <c r="E38" s="27"/>
      <c r="F38" s="27"/>
      <c r="G38" s="27" t="s">
        <v>467</v>
      </c>
      <c r="H38" s="28"/>
      <c r="I38" s="28"/>
      <c r="J38" s="25"/>
      <c r="K38" s="25">
        <f>Table134712[[#This Row],[Valor de la Factura del Cliente]]*-0.2</f>
        <v>0</v>
      </c>
      <c r="L38" s="25">
        <f>+Table134712[[#This Row],[Valor de la Factura del Cliente]]*-0.05</f>
        <v>0</v>
      </c>
      <c r="M38" s="28"/>
      <c r="N38" s="25"/>
      <c r="O38" s="28">
        <v>512.99</v>
      </c>
      <c r="P38" s="29">
        <f>+Table134712[[#This Row],[Pagado por MVPX]]+P37-Table134712[[#This Row],[Avance]]</f>
        <v>-3144.1724999999988</v>
      </c>
    </row>
    <row r="39" spans="2:16" s="12" customFormat="1" x14ac:dyDescent="0.25">
      <c r="B39" s="47">
        <v>44789</v>
      </c>
      <c r="C39" s="27"/>
      <c r="D39" s="27"/>
      <c r="E39" s="27"/>
      <c r="F39" s="27"/>
      <c r="G39" s="27" t="s">
        <v>467</v>
      </c>
      <c r="H39" s="28"/>
      <c r="I39" s="28"/>
      <c r="J39" s="25"/>
      <c r="K39" s="25">
        <f>Table134712[[#This Row],[Valor de la Factura del Cliente]]*-0.2</f>
        <v>0</v>
      </c>
      <c r="L39" s="25">
        <f>+Table134712[[#This Row],[Valor de la Factura del Cliente]]*-0.05</f>
        <v>0</v>
      </c>
      <c r="M39" s="28"/>
      <c r="N39" s="25"/>
      <c r="O39" s="28">
        <v>411.99</v>
      </c>
      <c r="P39" s="29">
        <f>+Table134712[[#This Row],[Pagado por MVPX]]+P38-Table134712[[#This Row],[Avance]]</f>
        <v>-3556.1624999999985</v>
      </c>
    </row>
    <row r="40" spans="2:16" s="12" customFormat="1" x14ac:dyDescent="0.25">
      <c r="B40" s="47">
        <v>44839</v>
      </c>
      <c r="C40" s="27"/>
      <c r="D40" s="27"/>
      <c r="E40" s="27"/>
      <c r="F40" s="27"/>
      <c r="G40" s="27" t="s">
        <v>467</v>
      </c>
      <c r="H40" s="28"/>
      <c r="I40" s="28"/>
      <c r="J40" s="25"/>
      <c r="K40" s="25">
        <f>Table134712[[#This Row],[Valor de la Factura del Cliente]]*-0.2</f>
        <v>0</v>
      </c>
      <c r="L40" s="25">
        <f>+Table134712[[#This Row],[Valor de la Factura del Cliente]]*-0.05</f>
        <v>0</v>
      </c>
      <c r="M40" s="28"/>
      <c r="N40" s="25"/>
      <c r="O40" s="28">
        <v>310.99</v>
      </c>
      <c r="P40" s="29">
        <f>+Table134712[[#This Row],[Pagado por MVPX]]+P39-Table134712[[#This Row],[Avance]]</f>
        <v>-3867.1524999999983</v>
      </c>
    </row>
    <row r="41" spans="2:16" s="12" customFormat="1" x14ac:dyDescent="0.25">
      <c r="B41" s="47">
        <v>44907</v>
      </c>
      <c r="C41" s="27"/>
      <c r="D41" s="27"/>
      <c r="E41" s="27"/>
      <c r="F41" s="27"/>
      <c r="G41" s="27" t="s">
        <v>467</v>
      </c>
      <c r="H41" s="28"/>
      <c r="I41" s="28"/>
      <c r="J41" s="25"/>
      <c r="K41" s="25">
        <f>Table134712[[#This Row],[Valor de la Factura del Cliente]]*-0.2</f>
        <v>0</v>
      </c>
      <c r="L41" s="25">
        <f>+Table134712[[#This Row],[Valor de la Factura del Cliente]]*-0.05</f>
        <v>0</v>
      </c>
      <c r="M41" s="28"/>
      <c r="N41" s="25"/>
      <c r="O41" s="28">
        <v>107.99</v>
      </c>
      <c r="P41" s="29">
        <f>+Table134712[[#This Row],[Pagado por MVPX]]+P40-Table134712[[#This Row],[Avance]]</f>
        <v>-3975.1424999999981</v>
      </c>
    </row>
    <row r="42" spans="2:16" s="12" customFormat="1" ht="36" x14ac:dyDescent="0.25">
      <c r="B42" s="48">
        <v>44949</v>
      </c>
      <c r="C42" s="30"/>
      <c r="D42" s="30"/>
      <c r="E42" s="30"/>
      <c r="F42" s="30"/>
      <c r="G42" s="30" t="s">
        <v>469</v>
      </c>
      <c r="H42" s="31"/>
      <c r="I42" s="31"/>
      <c r="J42" s="63"/>
      <c r="K42" s="25">
        <f>Table134712[[#This Row],[Valor de la Factura del Cliente]]*-0.2</f>
        <v>0</v>
      </c>
      <c r="L42" s="25">
        <f>+Table134712[[#This Row],[Valor de la Factura del Cliente]]*-0.05</f>
        <v>0</v>
      </c>
      <c r="M42" s="31"/>
      <c r="N42" s="25"/>
      <c r="O42" s="31">
        <v>36.799999999999997</v>
      </c>
      <c r="P42" s="29">
        <f>+Table134712[[#This Row],[Pagado por MVPX]]+P41-Table134712[[#This Row],[Avance]]</f>
        <v>-4011.9424999999983</v>
      </c>
    </row>
    <row r="43" spans="2:16" s="33" customFormat="1" x14ac:dyDescent="0.25">
      <c r="B43" s="47">
        <v>44937</v>
      </c>
      <c r="C43" s="27"/>
      <c r="D43" s="27"/>
      <c r="E43" s="27"/>
      <c r="F43" s="27"/>
      <c r="G43" s="27" t="s">
        <v>467</v>
      </c>
      <c r="H43" s="28"/>
      <c r="I43" s="28"/>
      <c r="J43" s="25"/>
      <c r="K43" s="25">
        <f>Table134712[[#This Row],[Valor de la Factura del Cliente]]*-0.2</f>
        <v>0</v>
      </c>
      <c r="L43" s="25">
        <f>+Table134712[[#This Row],[Valor de la Factura del Cliente]]*-0.05</f>
        <v>0</v>
      </c>
      <c r="M43" s="28"/>
      <c r="N43" s="25"/>
      <c r="O43" s="28">
        <v>30</v>
      </c>
      <c r="P43" s="29">
        <f>+Table134712[[#This Row],[Pagado por MVPX]]+P42-Table134712[[#This Row],[Avance]]</f>
        <v>-4041.9424999999983</v>
      </c>
    </row>
    <row r="44" spans="2:16" s="12" customFormat="1" x14ac:dyDescent="0.25">
      <c r="B44" s="47">
        <v>44937</v>
      </c>
      <c r="C44" s="27"/>
      <c r="D44" s="27"/>
      <c r="E44" s="27"/>
      <c r="F44" s="27"/>
      <c r="G44" s="27" t="s">
        <v>467</v>
      </c>
      <c r="H44" s="28"/>
      <c r="I44" s="28"/>
      <c r="J44" s="25"/>
      <c r="K44" s="25">
        <f>Table134712[[#This Row],[Valor de la Factura del Cliente]]*-0.2</f>
        <v>0</v>
      </c>
      <c r="L44" s="25">
        <f>+Table134712[[#This Row],[Valor de la Factura del Cliente]]*-0.05</f>
        <v>0</v>
      </c>
      <c r="M44" s="28"/>
      <c r="N44" s="25"/>
      <c r="O44" s="28">
        <v>29.83</v>
      </c>
      <c r="P44" s="29">
        <f>+Table134712[[#This Row],[Pagado por MVPX]]+P43-Table134712[[#This Row],[Avance]]</f>
        <v>-4071.7724999999982</v>
      </c>
    </row>
    <row r="45" spans="2:16" s="12" customFormat="1" x14ac:dyDescent="0.25">
      <c r="B45" s="47">
        <v>44945</v>
      </c>
      <c r="C45" s="27"/>
      <c r="D45" s="27"/>
      <c r="E45" s="27"/>
      <c r="F45" s="27"/>
      <c r="G45" s="27" t="s">
        <v>470</v>
      </c>
      <c r="H45" s="28"/>
      <c r="I45" s="28"/>
      <c r="J45" s="25"/>
      <c r="K45" s="25">
        <f>Table134712[[#This Row],[Valor de la Factura del Cliente]]*-0.2</f>
        <v>0</v>
      </c>
      <c r="L45" s="25">
        <f>+Table134712[[#This Row],[Valor de la Factura del Cliente]]*-0.05</f>
        <v>0</v>
      </c>
      <c r="M45" s="28"/>
      <c r="N45" s="25"/>
      <c r="O45" s="28">
        <v>24.9</v>
      </c>
      <c r="P45" s="29">
        <f>+Table134712[[#This Row],[Pagado por MVPX]]+P44-Table134712[[#This Row],[Avance]]</f>
        <v>-4096.6724999999979</v>
      </c>
    </row>
    <row r="46" spans="2:16" s="12" customFormat="1" x14ac:dyDescent="0.25">
      <c r="B46" s="47">
        <v>44945</v>
      </c>
      <c r="C46" s="27"/>
      <c r="D46" s="27"/>
      <c r="E46" s="27"/>
      <c r="F46" s="27"/>
      <c r="G46" s="27" t="s">
        <v>470</v>
      </c>
      <c r="H46" s="28"/>
      <c r="I46" s="28"/>
      <c r="J46" s="25"/>
      <c r="K46" s="25">
        <f>Table134712[[#This Row],[Valor de la Factura del Cliente]]*-0.2</f>
        <v>0</v>
      </c>
      <c r="L46" s="25">
        <f>+Table134712[[#This Row],[Valor de la Factura del Cliente]]*-0.05</f>
        <v>0</v>
      </c>
      <c r="M46" s="28"/>
      <c r="N46" s="25"/>
      <c r="O46" s="28">
        <v>61.63</v>
      </c>
      <c r="P46" s="29">
        <f>+Table134712[[#This Row],[Pagado por MVPX]]+P45-Table134712[[#This Row],[Avance]]</f>
        <v>-4158.302499999998</v>
      </c>
    </row>
    <row r="47" spans="2:16" s="12" customFormat="1" x14ac:dyDescent="0.25">
      <c r="B47" s="47">
        <v>44952</v>
      </c>
      <c r="C47" s="27"/>
      <c r="D47" s="27"/>
      <c r="E47" s="27"/>
      <c r="F47" s="27"/>
      <c r="G47" s="27" t="s">
        <v>135</v>
      </c>
      <c r="H47" s="28"/>
      <c r="I47" s="28"/>
      <c r="J47" s="25"/>
      <c r="K47" s="25">
        <f>Table134712[[#This Row],[Valor de la Factura del Cliente]]*-0.2</f>
        <v>0</v>
      </c>
      <c r="L47" s="25">
        <f>+Table134712[[#This Row],[Valor de la Factura del Cliente]]*-0.05</f>
        <v>0</v>
      </c>
      <c r="M47" s="28"/>
      <c r="N47" s="25"/>
      <c r="O47" s="28">
        <v>19.149999999999999</v>
      </c>
      <c r="P47" s="29">
        <f>+Table134712[[#This Row],[Pagado por MVPX]]+P46-Table134712[[#This Row],[Avance]]</f>
        <v>-4177.4524999999976</v>
      </c>
    </row>
    <row r="48" spans="2:16" s="12" customFormat="1" x14ac:dyDescent="0.25">
      <c r="B48" s="47">
        <v>44952</v>
      </c>
      <c r="C48" s="27"/>
      <c r="D48" s="27"/>
      <c r="E48" s="27"/>
      <c r="F48" s="27"/>
      <c r="G48" s="27" t="s">
        <v>133</v>
      </c>
      <c r="H48" s="28"/>
      <c r="I48" s="28"/>
      <c r="J48" s="25"/>
      <c r="K48" s="25">
        <f>Table134712[[#This Row],[Valor de la Factura del Cliente]]*-0.2</f>
        <v>0</v>
      </c>
      <c r="L48" s="25">
        <f>+Table134712[[#This Row],[Valor de la Factura del Cliente]]*-0.05</f>
        <v>0</v>
      </c>
      <c r="M48" s="28"/>
      <c r="N48" s="25"/>
      <c r="O48" s="28">
        <v>19.5</v>
      </c>
      <c r="P48" s="29">
        <f>+Table134712[[#This Row],[Pagado por MVPX]]+P47-Table134712[[#This Row],[Avance]]</f>
        <v>-4196.9524999999976</v>
      </c>
    </row>
    <row r="49" spans="2:16" s="12" customFormat="1" x14ac:dyDescent="0.25">
      <c r="B49" s="47">
        <v>44956</v>
      </c>
      <c r="C49" s="27"/>
      <c r="D49" s="27"/>
      <c r="E49" s="27"/>
      <c r="F49" s="27"/>
      <c r="G49" s="27" t="s">
        <v>136</v>
      </c>
      <c r="H49" s="28"/>
      <c r="I49" s="28"/>
      <c r="J49" s="25"/>
      <c r="K49" s="25">
        <f>Table134712[[#This Row],[Valor de la Factura del Cliente]]*-0.2</f>
        <v>0</v>
      </c>
      <c r="L49" s="25">
        <f>+Table134712[[#This Row],[Valor de la Factura del Cliente]]*-0.05</f>
        <v>0</v>
      </c>
      <c r="M49" s="28"/>
      <c r="N49" s="25"/>
      <c r="O49" s="28">
        <v>33.450000000000003</v>
      </c>
      <c r="P49" s="29">
        <f>+Table134712[[#This Row],[Pagado por MVPX]]+P48-Table134712[[#This Row],[Avance]]</f>
        <v>-4230.4024999999974</v>
      </c>
    </row>
    <row r="50" spans="2:16" s="12" customFormat="1" x14ac:dyDescent="0.25">
      <c r="B50" s="47">
        <v>44946</v>
      </c>
      <c r="C50" s="27"/>
      <c r="D50" s="27"/>
      <c r="E50" s="27"/>
      <c r="F50" s="27"/>
      <c r="G50" s="27" t="s">
        <v>471</v>
      </c>
      <c r="H50" s="28"/>
      <c r="I50" s="28"/>
      <c r="J50" s="25"/>
      <c r="K50" s="25">
        <f>Table134712[[#This Row],[Valor de la Factura del Cliente]]*-0.2</f>
        <v>0</v>
      </c>
      <c r="L50" s="25">
        <f>+Table134712[[#This Row],[Valor de la Factura del Cliente]]*-0.05</f>
        <v>0</v>
      </c>
      <c r="M50" s="28"/>
      <c r="N50" s="25"/>
      <c r="O50" s="28">
        <v>35.090000000000003</v>
      </c>
      <c r="P50" s="29">
        <f>+Table134712[[#This Row],[Pagado por MVPX]]+P49-Table134712[[#This Row],[Avance]]</f>
        <v>-4265.4924999999976</v>
      </c>
    </row>
    <row r="51" spans="2:16" s="12" customFormat="1" x14ac:dyDescent="0.25">
      <c r="B51" s="47">
        <v>44949</v>
      </c>
      <c r="C51" s="27"/>
      <c r="D51" s="27"/>
      <c r="E51" s="27"/>
      <c r="F51" s="27"/>
      <c r="G51" s="27" t="s">
        <v>472</v>
      </c>
      <c r="H51" s="28"/>
      <c r="I51" s="28"/>
      <c r="J51" s="25"/>
      <c r="K51" s="25">
        <f>Table134712[[#This Row],[Valor de la Factura del Cliente]]*-0.2</f>
        <v>0</v>
      </c>
      <c r="L51" s="25">
        <f>+Table134712[[#This Row],[Valor de la Factura del Cliente]]*-0.05</f>
        <v>0</v>
      </c>
      <c r="M51" s="28"/>
      <c r="N51" s="25"/>
      <c r="O51" s="28">
        <v>24.14</v>
      </c>
      <c r="P51" s="29">
        <f>+Table134712[[#This Row],[Pagado por MVPX]]+P50-Table134712[[#This Row],[Avance]]</f>
        <v>-4289.6324999999979</v>
      </c>
    </row>
    <row r="52" spans="2:16" s="12" customFormat="1" x14ac:dyDescent="0.25">
      <c r="B52" s="47">
        <v>44949</v>
      </c>
      <c r="C52" s="27"/>
      <c r="D52" s="27"/>
      <c r="E52" s="27"/>
      <c r="F52" s="27"/>
      <c r="G52" s="27" t="s">
        <v>473</v>
      </c>
      <c r="H52" s="28"/>
      <c r="I52" s="28"/>
      <c r="J52" s="25"/>
      <c r="K52" s="25">
        <f>Table134712[[#This Row],[Valor de la Factura del Cliente]]*-0.2</f>
        <v>0</v>
      </c>
      <c r="L52" s="25">
        <f>+Table134712[[#This Row],[Valor de la Factura del Cliente]]*-0.05</f>
        <v>0</v>
      </c>
      <c r="M52" s="28"/>
      <c r="N52" s="25"/>
      <c r="O52" s="28">
        <v>144.76</v>
      </c>
      <c r="P52" s="29">
        <f>+Table134712[[#This Row],[Pagado por MVPX]]+P51-Table134712[[#This Row],[Avance]]</f>
        <v>-4434.3924999999981</v>
      </c>
    </row>
    <row r="53" spans="2:16" s="12" customFormat="1" x14ac:dyDescent="0.25">
      <c r="B53" s="47">
        <v>44951</v>
      </c>
      <c r="C53" s="27"/>
      <c r="D53" s="27"/>
      <c r="E53" s="27"/>
      <c r="F53" s="27"/>
      <c r="G53" s="27" t="s">
        <v>474</v>
      </c>
      <c r="H53" s="28"/>
      <c r="I53" s="28"/>
      <c r="J53" s="25"/>
      <c r="K53" s="25">
        <f>Table134712[[#This Row],[Valor de la Factura del Cliente]]*-0.2</f>
        <v>0</v>
      </c>
      <c r="L53" s="25">
        <f>+Table134712[[#This Row],[Valor de la Factura del Cliente]]*-0.05</f>
        <v>0</v>
      </c>
      <c r="M53" s="28"/>
      <c r="N53" s="25"/>
      <c r="O53" s="28">
        <v>113</v>
      </c>
      <c r="P53" s="29">
        <f>+Table134712[[#This Row],[Pagado por MVPX]]+P52-Table134712[[#This Row],[Avance]]</f>
        <v>-4547.3924999999981</v>
      </c>
    </row>
    <row r="54" spans="2:16" s="12" customFormat="1" x14ac:dyDescent="0.25">
      <c r="B54" s="47">
        <v>44963</v>
      </c>
      <c r="C54" s="27"/>
      <c r="D54" s="27"/>
      <c r="E54" s="27"/>
      <c r="F54" s="27"/>
      <c r="G54" s="27" t="s">
        <v>475</v>
      </c>
      <c r="H54" s="28"/>
      <c r="I54" s="28"/>
      <c r="J54" s="25"/>
      <c r="K54" s="25">
        <f>Table134712[[#This Row],[Valor de la Factura del Cliente]]*-0.2</f>
        <v>0</v>
      </c>
      <c r="L54" s="25">
        <f>+Table134712[[#This Row],[Valor de la Factura del Cliente]]*-0.05</f>
        <v>0</v>
      </c>
      <c r="M54" s="28"/>
      <c r="N54" s="25"/>
      <c r="O54" s="28">
        <v>90.9</v>
      </c>
      <c r="P54" s="29">
        <f>+Table134712[[#This Row],[Pagado por MVPX]]+P53-Table134712[[#This Row],[Avance]]</f>
        <v>-4638.2924999999977</v>
      </c>
    </row>
    <row r="55" spans="2:16" s="12" customFormat="1" x14ac:dyDescent="0.25">
      <c r="B55" s="47">
        <v>45140</v>
      </c>
      <c r="C55" s="27"/>
      <c r="D55" s="27"/>
      <c r="E55" s="27"/>
      <c r="F55" s="27"/>
      <c r="G55" s="27" t="s">
        <v>476</v>
      </c>
      <c r="H55" s="28"/>
      <c r="I55" s="28"/>
      <c r="J55" s="25"/>
      <c r="K55" s="25">
        <f>Table134712[[#This Row],[Valor de la Factura del Cliente]]*-0.2</f>
        <v>0</v>
      </c>
      <c r="L55" s="25">
        <f>+Table134712[[#This Row],[Valor de la Factura del Cliente]]*-0.05</f>
        <v>0</v>
      </c>
      <c r="M55" s="28"/>
      <c r="N55" s="25"/>
      <c r="O55" s="28">
        <v>43.45</v>
      </c>
      <c r="P55" s="29">
        <f>+Table134712[[#This Row],[Pagado por MVPX]]+P54-Table134712[[#This Row],[Avance]]</f>
        <v>-4681.7424999999976</v>
      </c>
    </row>
    <row r="56" spans="2:16" s="12" customFormat="1" x14ac:dyDescent="0.25">
      <c r="B56" s="47">
        <v>44974</v>
      </c>
      <c r="C56" s="27"/>
      <c r="D56" s="27"/>
      <c r="E56" s="27"/>
      <c r="F56" s="27"/>
      <c r="G56" s="27" t="s">
        <v>477</v>
      </c>
      <c r="H56" s="28"/>
      <c r="I56" s="28"/>
      <c r="J56" s="25"/>
      <c r="K56" s="25">
        <f>Table134712[[#This Row],[Valor de la Factura del Cliente]]*-0.2</f>
        <v>0</v>
      </c>
      <c r="L56" s="25">
        <f>+Table134712[[#This Row],[Valor de la Factura del Cliente]]*-0.05</f>
        <v>0</v>
      </c>
      <c r="M56" s="28"/>
      <c r="N56" s="25"/>
      <c r="O56" s="28">
        <v>27.87</v>
      </c>
      <c r="P56" s="29">
        <f>+Table134712[[#This Row],[Pagado por MVPX]]+P55-Table134712[[#This Row],[Avance]]</f>
        <v>-4709.6124999999975</v>
      </c>
    </row>
    <row r="57" spans="2:16" s="12" customFormat="1" x14ac:dyDescent="0.25">
      <c r="B57" s="47">
        <v>44959</v>
      </c>
      <c r="C57" s="27"/>
      <c r="D57" s="27"/>
      <c r="E57" s="27"/>
      <c r="F57" s="27"/>
      <c r="G57" s="27" t="s">
        <v>477</v>
      </c>
      <c r="H57" s="28"/>
      <c r="I57" s="28"/>
      <c r="J57" s="25"/>
      <c r="K57" s="25">
        <f>Table134712[[#This Row],[Valor de la Factura del Cliente]]*-0.2</f>
        <v>0</v>
      </c>
      <c r="L57" s="25">
        <f>+Table134712[[#This Row],[Valor de la Factura del Cliente]]*-0.05</f>
        <v>0</v>
      </c>
      <c r="M57" s="28"/>
      <c r="N57" s="25"/>
      <c r="O57" s="28">
        <v>5.58</v>
      </c>
      <c r="P57" s="29">
        <f>+Table134712[[#This Row],[Pagado por MVPX]]+P56-Table134712[[#This Row],[Avance]]</f>
        <v>-4715.1924999999974</v>
      </c>
    </row>
    <row r="58" spans="2:16" s="12" customFormat="1" ht="36" x14ac:dyDescent="0.25">
      <c r="B58" s="47">
        <v>44991</v>
      </c>
      <c r="C58" s="27"/>
      <c r="D58" s="27"/>
      <c r="E58" s="27"/>
      <c r="F58" s="27"/>
      <c r="G58" s="27" t="s">
        <v>478</v>
      </c>
      <c r="H58" s="28">
        <v>3600</v>
      </c>
      <c r="I58" s="28"/>
      <c r="J58" s="25"/>
      <c r="K58" s="25">
        <f>Table134712[[#This Row],[Valor de la Factura del Cliente]]*-0.2</f>
        <v>-720</v>
      </c>
      <c r="L58" s="25">
        <f>+Table134712[[#This Row],[Valor de la Factura del Cliente]]*-0.05</f>
        <v>-180</v>
      </c>
      <c r="M58" s="28"/>
      <c r="N58" s="25">
        <v>2700</v>
      </c>
      <c r="O58" s="28"/>
      <c r="P58" s="29">
        <f>+Table134712[[#This Row],[Pagado por MVPX]]+P57-Table134712[[#This Row],[Avance]]</f>
        <v>-2015.1924999999974</v>
      </c>
    </row>
    <row r="59" spans="2:16" s="12" customFormat="1" x14ac:dyDescent="0.25">
      <c r="B59" s="47">
        <v>45061</v>
      </c>
      <c r="C59" s="27"/>
      <c r="D59" s="27"/>
      <c r="E59" s="27"/>
      <c r="F59" s="27"/>
      <c r="G59" s="27" t="s">
        <v>477</v>
      </c>
      <c r="H59" s="28"/>
      <c r="I59" s="28"/>
      <c r="J59" s="25"/>
      <c r="K59" s="25">
        <f>Table134712[[#This Row],[Valor de la Factura del Cliente]]*-0.2</f>
        <v>0</v>
      </c>
      <c r="L59" s="25">
        <f>+Table134712[[#This Row],[Valor de la Factura del Cliente]]*-0.05</f>
        <v>0</v>
      </c>
      <c r="M59" s="28"/>
      <c r="N59" s="25"/>
      <c r="O59" s="28">
        <v>27.87</v>
      </c>
      <c r="P59" s="29">
        <f>+Table134712[[#This Row],[Pagado por MVPX]]+P58-Table134712[[#This Row],[Avance]]</f>
        <v>-2043.0624999999973</v>
      </c>
    </row>
    <row r="60" spans="2:16" s="12" customFormat="1" x14ac:dyDescent="0.25">
      <c r="B60" s="47">
        <v>45062</v>
      </c>
      <c r="C60" s="27"/>
      <c r="D60" s="27"/>
      <c r="E60" s="27"/>
      <c r="F60" s="27"/>
      <c r="G60" s="27" t="s">
        <v>477</v>
      </c>
      <c r="H60" s="28"/>
      <c r="I60" s="28"/>
      <c r="J60" s="25"/>
      <c r="K60" s="25">
        <f>Table134712[[#This Row],[Valor de la Factura del Cliente]]*-0.2</f>
        <v>0</v>
      </c>
      <c r="L60" s="25">
        <f>+Table134712[[#This Row],[Valor de la Factura del Cliente]]*-0.05</f>
        <v>0</v>
      </c>
      <c r="M60" s="28"/>
      <c r="N60" s="25"/>
      <c r="O60" s="28">
        <v>27.87</v>
      </c>
      <c r="P60" s="29">
        <f>+Table134712[[#This Row],[Pagado por MVPX]]+P59-Table134712[[#This Row],[Avance]]</f>
        <v>-2070.9324999999972</v>
      </c>
    </row>
    <row r="61" spans="2:16" s="12" customFormat="1" x14ac:dyDescent="0.25">
      <c r="B61" s="47">
        <v>45021</v>
      </c>
      <c r="C61" s="27"/>
      <c r="D61" s="27"/>
      <c r="E61" s="27"/>
      <c r="F61" s="27"/>
      <c r="G61" s="27" t="s">
        <v>479</v>
      </c>
      <c r="H61" s="28"/>
      <c r="I61" s="28"/>
      <c r="J61" s="25"/>
      <c r="K61" s="25">
        <f>Table134712[[#This Row],[Valor de la Factura del Cliente]]*-0.2</f>
        <v>0</v>
      </c>
      <c r="L61" s="25">
        <f>+Table134712[[#This Row],[Valor de la Factura del Cliente]]*-0.05</f>
        <v>0</v>
      </c>
      <c r="M61" s="28"/>
      <c r="N61" s="25"/>
      <c r="O61" s="28">
        <v>308.74</v>
      </c>
      <c r="P61" s="29">
        <f>+Table134712[[#This Row],[Pagado por MVPX]]+P60-Table134712[[#This Row],[Avance]]</f>
        <v>-2379.6724999999969</v>
      </c>
    </row>
    <row r="62" spans="2:16" x14ac:dyDescent="0.45">
      <c r="B62" s="47">
        <v>45027</v>
      </c>
      <c r="C62" s="43"/>
      <c r="D62" s="43"/>
      <c r="E62" s="43"/>
      <c r="F62" s="43"/>
      <c r="G62" s="43" t="s">
        <v>480</v>
      </c>
      <c r="H62" s="45"/>
      <c r="I62" s="45"/>
      <c r="J62" s="64"/>
      <c r="K62" s="25">
        <f>Table134712[[#This Row],[Valor de la Factura del Cliente]]*-0.2</f>
        <v>0</v>
      </c>
      <c r="L62" s="25">
        <f>+Table134712[[#This Row],[Valor de la Factura del Cliente]]*-0.05</f>
        <v>0</v>
      </c>
      <c r="M62" s="45"/>
      <c r="N62" s="25"/>
      <c r="O62" s="45">
        <v>150</v>
      </c>
      <c r="P62" s="29">
        <f>+Table134712[[#This Row],[Pagado por MVPX]]+P61-Table134712[[#This Row],[Avance]]</f>
        <v>-2529.6724999999969</v>
      </c>
    </row>
    <row r="63" spans="2:16" ht="36" x14ac:dyDescent="0.45">
      <c r="B63" s="47">
        <v>45065</v>
      </c>
      <c r="C63" s="43"/>
      <c r="D63" s="43"/>
      <c r="E63" s="43"/>
      <c r="F63" s="43"/>
      <c r="G63" s="43" t="s">
        <v>481</v>
      </c>
      <c r="H63" s="45"/>
      <c r="I63" s="45"/>
      <c r="J63" s="64"/>
      <c r="K63" s="25">
        <f>Table134712[[#This Row],[Valor de la Factura del Cliente]]*-0.2</f>
        <v>0</v>
      </c>
      <c r="L63" s="25">
        <f>+Table134712[[#This Row],[Valor de la Factura del Cliente]]*-0.05</f>
        <v>0</v>
      </c>
      <c r="M63" s="45"/>
      <c r="N63" s="25"/>
      <c r="O63" s="45">
        <v>112.7</v>
      </c>
      <c r="P63" s="29">
        <f>+Table134712[[#This Row],[Pagado por MVPX]]+P62-Table134712[[#This Row],[Avance]]</f>
        <v>-2642.3724999999968</v>
      </c>
    </row>
    <row r="64" spans="2:16" x14ac:dyDescent="0.45">
      <c r="B64" s="47">
        <v>45054</v>
      </c>
      <c r="C64" s="43"/>
      <c r="D64" s="43"/>
      <c r="E64" s="43"/>
      <c r="F64" s="43"/>
      <c r="G64" s="43" t="s">
        <v>482</v>
      </c>
      <c r="H64" s="45"/>
      <c r="I64" s="45"/>
      <c r="J64" s="64"/>
      <c r="K64" s="25">
        <f>Table134712[[#This Row],[Valor de la Factura del Cliente]]*-0.2</f>
        <v>0</v>
      </c>
      <c r="L64" s="25">
        <f>+Table134712[[#This Row],[Valor de la Factura del Cliente]]*-0.05</f>
        <v>0</v>
      </c>
      <c r="M64" s="45"/>
      <c r="N64" s="25"/>
      <c r="O64" s="45">
        <v>260.99</v>
      </c>
      <c r="P64" s="29">
        <f>+Table134712[[#This Row],[Pagado por MVPX]]+P63-Table134712[[#This Row],[Avance]]</f>
        <v>-2903.3624999999965</v>
      </c>
    </row>
    <row r="65" spans="2:16" x14ac:dyDescent="0.45">
      <c r="B65" s="47">
        <v>45071</v>
      </c>
      <c r="C65" s="43"/>
      <c r="D65" s="43"/>
      <c r="E65" s="43"/>
      <c r="F65" s="43"/>
      <c r="G65" s="43" t="s">
        <v>483</v>
      </c>
      <c r="H65" s="45"/>
      <c r="I65" s="45"/>
      <c r="J65" s="64"/>
      <c r="K65" s="25">
        <f>Table134712[[#This Row],[Valor de la Factura del Cliente]]*-0.2</f>
        <v>0</v>
      </c>
      <c r="L65" s="25">
        <f>+Table134712[[#This Row],[Valor de la Factura del Cliente]]*-0.05</f>
        <v>0</v>
      </c>
      <c r="M65" s="45"/>
      <c r="N65" s="25"/>
      <c r="O65" s="45">
        <v>200</v>
      </c>
      <c r="P65" s="29">
        <f>+Table134712[[#This Row],[Pagado por MVPX]]+P64-Table134712[[#This Row],[Avance]]</f>
        <v>-3103.3624999999965</v>
      </c>
    </row>
    <row r="66" spans="2:16" x14ac:dyDescent="0.45">
      <c r="B66" s="47">
        <v>45092</v>
      </c>
      <c r="C66" s="43"/>
      <c r="D66" s="43"/>
      <c r="E66" s="43"/>
      <c r="F66" s="43"/>
      <c r="G66" s="43" t="s">
        <v>477</v>
      </c>
      <c r="H66" s="45"/>
      <c r="I66" s="45"/>
      <c r="J66" s="64"/>
      <c r="K66" s="25">
        <f>Table134712[[#This Row],[Valor de la Factura del Cliente]]*-0.2</f>
        <v>0</v>
      </c>
      <c r="L66" s="25">
        <f>+Table134712[[#This Row],[Valor de la Factura del Cliente]]*-0.05</f>
        <v>0</v>
      </c>
      <c r="M66" s="45"/>
      <c r="N66" s="25"/>
      <c r="O66" s="45">
        <v>27.87</v>
      </c>
      <c r="P66" s="29">
        <f>+Table134712[[#This Row],[Pagado por MVPX]]+P65-Table134712[[#This Row],[Avance]]</f>
        <v>-3131.2324999999964</v>
      </c>
    </row>
    <row r="67" spans="2:16" x14ac:dyDescent="0.45">
      <c r="B67" s="47">
        <v>45122</v>
      </c>
      <c r="C67" s="43"/>
      <c r="D67" s="43"/>
      <c r="E67" s="43"/>
      <c r="F67" s="43"/>
      <c r="G67" s="43" t="s">
        <v>477</v>
      </c>
      <c r="H67" s="45"/>
      <c r="I67" s="45"/>
      <c r="J67" s="64"/>
      <c r="K67" s="25">
        <f>Table134712[[#This Row],[Valor de la Factura del Cliente]]*-0.2</f>
        <v>0</v>
      </c>
      <c r="L67" s="25">
        <f>+Table134712[[#This Row],[Valor de la Factura del Cliente]]*-0.05</f>
        <v>0</v>
      </c>
      <c r="M67" s="45"/>
      <c r="N67" s="25"/>
      <c r="O67" s="45">
        <v>27.87</v>
      </c>
      <c r="P67" s="29">
        <f>+Table134712[[#This Row],[Pagado por MVPX]]+P66-Table134712[[#This Row],[Avance]]</f>
        <v>-3159.1024999999963</v>
      </c>
    </row>
    <row r="68" spans="2:16" x14ac:dyDescent="0.45">
      <c r="B68" s="47">
        <v>45128</v>
      </c>
      <c r="C68" s="43"/>
      <c r="D68" s="43"/>
      <c r="E68" s="43"/>
      <c r="F68" s="43"/>
      <c r="G68" s="43" t="s">
        <v>295</v>
      </c>
      <c r="H68" s="45"/>
      <c r="I68" s="45"/>
      <c r="J68" s="64"/>
      <c r="K68" s="25">
        <f>Table134712[[#This Row],[Valor de la Factura del Cliente]]*-0.2</f>
        <v>0</v>
      </c>
      <c r="L68" s="25">
        <f>+Table134712[[#This Row],[Valor de la Factura del Cliente]]*-0.05</f>
        <v>0</v>
      </c>
      <c r="M68" s="45"/>
      <c r="N68" s="25"/>
      <c r="O68" s="45">
        <v>1000</v>
      </c>
      <c r="P68" s="29">
        <f>+Table134712[[#This Row],[Pagado por MVPX]]+P67-Table134712[[#This Row],[Avance]]</f>
        <v>-4159.1024999999963</v>
      </c>
    </row>
    <row r="69" spans="2:16" x14ac:dyDescent="0.45">
      <c r="B69" s="47">
        <v>45139</v>
      </c>
      <c r="C69" s="43"/>
      <c r="D69" s="43"/>
      <c r="E69" s="43"/>
      <c r="F69" s="43"/>
      <c r="G69" s="43" t="s">
        <v>484</v>
      </c>
      <c r="H69" s="45"/>
      <c r="I69" s="45"/>
      <c r="J69" s="64"/>
      <c r="K69" s="25">
        <f>Table134712[[#This Row],[Valor de la Factura del Cliente]]*-0.2</f>
        <v>0</v>
      </c>
      <c r="L69" s="25">
        <f>+Table134712[[#This Row],[Valor de la Factura del Cliente]]*-0.05</f>
        <v>0</v>
      </c>
      <c r="M69" s="45"/>
      <c r="N69" s="25"/>
      <c r="O69" s="45">
        <v>300</v>
      </c>
      <c r="P69" s="29">
        <f>+Table134712[[#This Row],[Pagado por MVPX]]+P68-Table134712[[#This Row],[Avance]]</f>
        <v>-4459.1024999999963</v>
      </c>
    </row>
    <row r="70" spans="2:16" x14ac:dyDescent="0.45">
      <c r="B70" s="47">
        <v>45172</v>
      </c>
      <c r="C70" s="43"/>
      <c r="D70" s="43"/>
      <c r="E70" s="43"/>
      <c r="F70" s="43"/>
      <c r="G70" s="43" t="s">
        <v>107</v>
      </c>
      <c r="H70" s="45"/>
      <c r="I70" s="45"/>
      <c r="J70" s="64"/>
      <c r="K70" s="25">
        <f>Table134712[[#This Row],[Valor de la Factura del Cliente]]*-0.2</f>
        <v>0</v>
      </c>
      <c r="L70" s="25">
        <f>+Table134712[[#This Row],[Valor de la Factura del Cliente]]*-0.05</f>
        <v>0</v>
      </c>
      <c r="M70" s="45"/>
      <c r="N70" s="25"/>
      <c r="O70" s="45">
        <v>450</v>
      </c>
      <c r="P70" s="29">
        <f>+Table134712[[#This Row],[Pagado por MVPX]]+P69-Table134712[[#This Row],[Avance]]</f>
        <v>-4909.1024999999963</v>
      </c>
    </row>
    <row r="71" spans="2:16" ht="36" x14ac:dyDescent="0.45">
      <c r="B71" s="47">
        <v>45082</v>
      </c>
      <c r="C71" s="43"/>
      <c r="D71" s="43"/>
      <c r="E71" s="43"/>
      <c r="F71" s="43"/>
      <c r="G71" s="43" t="s">
        <v>485</v>
      </c>
      <c r="H71" s="45">
        <v>1000</v>
      </c>
      <c r="I71" s="45"/>
      <c r="J71" s="64"/>
      <c r="K71" s="25">
        <f>Table134712[[#This Row],[Valor de la Factura del Cliente]]*-0.2</f>
        <v>-200</v>
      </c>
      <c r="L71" s="25">
        <f>+Table134712[[#This Row],[Valor de la Factura del Cliente]]*-0.05</f>
        <v>-50</v>
      </c>
      <c r="M71" s="45"/>
      <c r="N71" s="25">
        <v>750</v>
      </c>
      <c r="O71" s="45"/>
      <c r="P71" s="29">
        <f>+Table134712[[#This Row],[Pagado por MVPX]]+P70-Table134712[[#This Row],[Avance]]</f>
        <v>-4159.1024999999963</v>
      </c>
    </row>
    <row r="72" spans="2:16" x14ac:dyDescent="0.45">
      <c r="B72" s="47">
        <v>45211</v>
      </c>
      <c r="C72" s="43"/>
      <c r="D72" s="43"/>
      <c r="E72" s="43"/>
      <c r="F72" s="43"/>
      <c r="G72" s="43" t="s">
        <v>484</v>
      </c>
      <c r="H72" s="45"/>
      <c r="I72" s="45"/>
      <c r="J72" s="64"/>
      <c r="K72" s="25">
        <f>Table134712[[#This Row],[Valor de la Factura del Cliente]]*-0.2</f>
        <v>0</v>
      </c>
      <c r="L72" s="25">
        <f>+Table134712[[#This Row],[Valor de la Factura del Cliente]]*-0.05</f>
        <v>0</v>
      </c>
      <c r="M72" s="45"/>
      <c r="N72" s="25"/>
      <c r="O72" s="45">
        <v>600</v>
      </c>
      <c r="P72" s="29">
        <f>+Table134712[[#This Row],[Pagado por MVPX]]+P71-Table134712[[#This Row],[Avance]]</f>
        <v>-4759.1024999999963</v>
      </c>
    </row>
    <row r="73" spans="2:16" x14ac:dyDescent="0.45">
      <c r="B73" s="47">
        <v>45222</v>
      </c>
      <c r="C73" s="43"/>
      <c r="D73" s="43"/>
      <c r="E73" s="43"/>
      <c r="F73" s="43"/>
      <c r="G73" s="43" t="s">
        <v>146</v>
      </c>
      <c r="H73" s="45"/>
      <c r="I73" s="45"/>
      <c r="J73" s="64"/>
      <c r="K73" s="25">
        <f>Table134712[[#This Row],[Valor de la Factura del Cliente]]*-0.2</f>
        <v>0</v>
      </c>
      <c r="L73" s="25">
        <f>+Table134712[[#This Row],[Valor de la Factura del Cliente]]*-0.05</f>
        <v>0</v>
      </c>
      <c r="M73" s="45"/>
      <c r="N73" s="25"/>
      <c r="O73" s="45">
        <v>350</v>
      </c>
      <c r="P73" s="29">
        <f>+Table134712[[#This Row],[Pagado por MVPX]]+P72-Table134712[[#This Row],[Avance]]</f>
        <v>-5109.1024999999963</v>
      </c>
    </row>
    <row r="74" spans="2:16" x14ac:dyDescent="0.45">
      <c r="B74" s="47">
        <v>45450</v>
      </c>
      <c r="C74" s="43"/>
      <c r="D74" s="43"/>
      <c r="E74" s="43"/>
      <c r="F74" s="43"/>
      <c r="G74" s="43" t="s">
        <v>486</v>
      </c>
      <c r="H74" s="45"/>
      <c r="I74" s="45"/>
      <c r="J74" s="64"/>
      <c r="K74" s="25">
        <f>Table134712[[#This Row],[Valor de la Factura del Cliente]]*-0.2</f>
        <v>0</v>
      </c>
      <c r="L74" s="25">
        <f>+Table134712[[#This Row],[Valor de la Factura del Cliente]]*-0.05</f>
        <v>0</v>
      </c>
      <c r="M74" s="45"/>
      <c r="N74" s="25"/>
      <c r="O74" s="45">
        <v>500</v>
      </c>
      <c r="P74" s="29">
        <f>+Table134712[[#This Row],[Pagado por MVPX]]+P73-Table134712[[#This Row],[Avance]]</f>
        <v>-5609.1024999999963</v>
      </c>
    </row>
    <row r="75" spans="2:16" x14ac:dyDescent="0.45">
      <c r="B75" s="47">
        <v>45453</v>
      </c>
      <c r="C75" s="43"/>
      <c r="D75" s="43"/>
      <c r="E75" s="43"/>
      <c r="F75" s="43"/>
      <c r="G75" s="43" t="s">
        <v>486</v>
      </c>
      <c r="H75" s="45"/>
      <c r="I75" s="45"/>
      <c r="J75" s="64"/>
      <c r="K75" s="25">
        <f>Table134712[[#This Row],[Valor de la Factura del Cliente]]*-0.2</f>
        <v>0</v>
      </c>
      <c r="L75" s="25">
        <f>+Table134712[[#This Row],[Valor de la Factura del Cliente]]*-0.05</f>
        <v>0</v>
      </c>
      <c r="M75" s="45"/>
      <c r="N75" s="25"/>
      <c r="O75" s="45">
        <v>430.99</v>
      </c>
      <c r="P75" s="29">
        <f>+Table134712[[#This Row],[Pagado por MVPX]]+P74-Table134712[[#This Row],[Avance]]</f>
        <v>-6040.0924999999961</v>
      </c>
    </row>
    <row r="76" spans="2:16" x14ac:dyDescent="0.45">
      <c r="B76" s="47">
        <v>45463</v>
      </c>
      <c r="C76" s="43"/>
      <c r="D76" s="43"/>
      <c r="E76" s="43"/>
      <c r="F76" s="43"/>
      <c r="G76" s="43" t="s">
        <v>487</v>
      </c>
      <c r="H76" s="45">
        <v>1940.2</v>
      </c>
      <c r="I76" s="45">
        <v>-25</v>
      </c>
      <c r="J76" s="64"/>
      <c r="K76" s="25">
        <f>Table134712[[#This Row],[Valor de la Factura del Cliente]]*-0.2</f>
        <v>-388.04</v>
      </c>
      <c r="L76" s="25">
        <f>+Table134712[[#This Row],[Valor de la Factura del Cliente]]*-0.05</f>
        <v>-97.01</v>
      </c>
      <c r="M76" s="45"/>
      <c r="N76" s="25">
        <v>1430.15</v>
      </c>
      <c r="O76" s="45"/>
      <c r="P76" s="29">
        <f>+Table134712[[#This Row],[Pagado por MVPX]]+P75-Table134712[[#This Row],[Avance]]</f>
        <v>-4609.9424999999956</v>
      </c>
    </row>
    <row r="77" spans="2:16" ht="18.75" thickBot="1" x14ac:dyDescent="0.5">
      <c r="B77" s="47">
        <v>45467</v>
      </c>
      <c r="C77" s="43"/>
      <c r="D77" s="43"/>
      <c r="E77" s="43"/>
      <c r="F77" s="43"/>
      <c r="G77" s="43" t="s">
        <v>107</v>
      </c>
      <c r="H77" s="45"/>
      <c r="I77" s="45"/>
      <c r="J77" s="64"/>
      <c r="K77" s="25">
        <f>Table134712[[#This Row],[Valor de la Factura del Cliente]]*-0.2</f>
        <v>0</v>
      </c>
      <c r="L77" s="25">
        <f>+Table134712[[#This Row],[Valor de la Factura del Cliente]]*-0.05</f>
        <v>0</v>
      </c>
      <c r="M77" s="45"/>
      <c r="N77" s="25"/>
      <c r="O77" s="45">
        <v>200</v>
      </c>
      <c r="P77" s="29">
        <f>+Table134712[[#This Row],[Pagado por MVPX]]+P76-Table134712[[#This Row],[Avance]]</f>
        <v>-4809.9424999999956</v>
      </c>
    </row>
    <row r="78" spans="2:16" ht="18.75" thickBot="1" x14ac:dyDescent="0.5">
      <c r="B78" s="22"/>
      <c r="C78" s="23"/>
      <c r="D78" s="23"/>
      <c r="E78" s="23"/>
      <c r="F78" s="23"/>
      <c r="G78" s="34" t="s">
        <v>356</v>
      </c>
      <c r="H78" s="35">
        <f>SUBTOTAL(109,Table134712[Valor de la Factura del Cliente])</f>
        <v>19742.810000000001</v>
      </c>
      <c r="I78" s="35">
        <f>SUBTOTAL(109,Table134712[Cargos Bancarios])</f>
        <v>-55</v>
      </c>
      <c r="J78" s="35"/>
      <c r="K78" s="35">
        <f>SUBTOTAL(109,Table134712[20% Comisión])</f>
        <v>-3948.5619999999999</v>
      </c>
      <c r="L78" s="35">
        <f>SUBTOTAL(109,Table134712[5% Legal])</f>
        <v>-987.14049999999997</v>
      </c>
      <c r="M78" s="35">
        <f>SUBTOTAL(109,Table134712[Retención de Impuestos])</f>
        <v>0</v>
      </c>
      <c r="N78" s="35">
        <f>SUBTOTAL(109,Table134712[Pagado por MVPX])</f>
        <v>15002.1075</v>
      </c>
      <c r="O78" s="35">
        <f>SUBTOTAL(109,Table134712[Avance])</f>
        <v>19812.050000000003</v>
      </c>
      <c r="P78" s="36" t="e">
        <f>+#REF!</f>
        <v>#REF!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461E-1470-4D70-A33F-25E374AB3F0E}">
  <sheetPr>
    <pageSetUpPr fitToPage="1"/>
  </sheetPr>
  <dimension ref="B1:P36"/>
  <sheetViews>
    <sheetView showGridLines="0" view="pageLayout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4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4" style="8" customWidth="1"/>
    <col min="16" max="16" width="18" style="8" bestFit="1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488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MIN(Table134713[Fecha])</f>
        <v>45694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MAX(Table134713[Fecha])</f>
        <v>45864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ht="36" x14ac:dyDescent="0.25">
      <c r="B9" s="46">
        <v>45694</v>
      </c>
      <c r="C9" s="24"/>
      <c r="D9" s="24"/>
      <c r="E9" s="24"/>
      <c r="F9" s="24" t="s">
        <v>213</v>
      </c>
      <c r="G9" s="24" t="s">
        <v>229</v>
      </c>
      <c r="H9" s="25">
        <v>0</v>
      </c>
      <c r="I9" s="25">
        <v>0</v>
      </c>
      <c r="J9" s="25"/>
      <c r="K9" s="25">
        <v>0</v>
      </c>
      <c r="L9" s="25">
        <v>0</v>
      </c>
      <c r="M9" s="25">
        <v>0</v>
      </c>
      <c r="N9" s="25">
        <v>200</v>
      </c>
      <c r="O9" s="25">
        <v>0</v>
      </c>
      <c r="P9" s="26">
        <f>-Table134713[[#This Row],[Pagado por MVPX]]</f>
        <v>-200</v>
      </c>
    </row>
    <row r="10" spans="2:16" s="12" customFormat="1" x14ac:dyDescent="0.25">
      <c r="B10" s="47">
        <v>45738</v>
      </c>
      <c r="C10" s="27"/>
      <c r="D10" s="27"/>
      <c r="E10" s="27"/>
      <c r="F10" s="27" t="s">
        <v>214</v>
      </c>
      <c r="G10" s="27" t="s">
        <v>230</v>
      </c>
      <c r="H10" s="28">
        <v>0</v>
      </c>
      <c r="I10" s="28">
        <v>0</v>
      </c>
      <c r="J10" s="28"/>
      <c r="K10" s="28">
        <v>0</v>
      </c>
      <c r="L10" s="28">
        <v>0</v>
      </c>
      <c r="M10" s="25">
        <v>0</v>
      </c>
      <c r="N10" s="28">
        <v>418.4</v>
      </c>
      <c r="O10" s="25">
        <v>0</v>
      </c>
      <c r="P10" s="29">
        <f>+P9-Table134713[[#This Row],[Pagado por MVPX]]</f>
        <v>-618.4</v>
      </c>
    </row>
    <row r="11" spans="2:16" s="12" customFormat="1" x14ac:dyDescent="0.25">
      <c r="B11" s="47">
        <v>45719</v>
      </c>
      <c r="C11" s="27"/>
      <c r="D11" s="27"/>
      <c r="E11" s="27"/>
      <c r="F11" s="27" t="s">
        <v>215</v>
      </c>
      <c r="G11" s="27" t="s">
        <v>231</v>
      </c>
      <c r="H11" s="28">
        <v>0</v>
      </c>
      <c r="I11" s="28">
        <v>0</v>
      </c>
      <c r="J11" s="28"/>
      <c r="K11" s="28">
        <v>0</v>
      </c>
      <c r="L11" s="28">
        <v>0</v>
      </c>
      <c r="M11" s="25">
        <v>0</v>
      </c>
      <c r="N11" s="28">
        <v>17.36</v>
      </c>
      <c r="O11" s="25">
        <v>0</v>
      </c>
      <c r="P11" s="29">
        <f>+P10-Table134713[[#This Row],[Pagado por MVPX]]</f>
        <v>-635.76</v>
      </c>
    </row>
    <row r="12" spans="2:16" s="12" customFormat="1" x14ac:dyDescent="0.25">
      <c r="B12" s="47">
        <v>45711</v>
      </c>
      <c r="C12" s="27"/>
      <c r="D12" s="27"/>
      <c r="E12" s="27"/>
      <c r="F12" s="27" t="s">
        <v>216</v>
      </c>
      <c r="G12" s="27" t="s">
        <v>231</v>
      </c>
      <c r="H12" s="28">
        <v>0</v>
      </c>
      <c r="I12" s="28">
        <v>0</v>
      </c>
      <c r="J12" s="28"/>
      <c r="K12" s="28">
        <v>0</v>
      </c>
      <c r="L12" s="28">
        <v>0</v>
      </c>
      <c r="M12" s="25">
        <v>0</v>
      </c>
      <c r="N12" s="28">
        <v>317.45</v>
      </c>
      <c r="O12" s="25">
        <v>0</v>
      </c>
      <c r="P12" s="29">
        <f>+P11-Table134713[[#This Row],[Pagado por MVPX]]</f>
        <v>-953.21</v>
      </c>
    </row>
    <row r="13" spans="2:16" s="12" customFormat="1" x14ac:dyDescent="0.25">
      <c r="B13" s="47">
        <v>45721</v>
      </c>
      <c r="C13" s="27"/>
      <c r="D13" s="27"/>
      <c r="E13" s="27"/>
      <c r="F13" s="27" t="s">
        <v>217</v>
      </c>
      <c r="G13" s="27" t="s">
        <v>232</v>
      </c>
      <c r="H13" s="28">
        <v>0</v>
      </c>
      <c r="I13" s="28">
        <v>0</v>
      </c>
      <c r="J13" s="28"/>
      <c r="K13" s="28">
        <v>0</v>
      </c>
      <c r="L13" s="28">
        <v>0</v>
      </c>
      <c r="M13" s="25">
        <v>0</v>
      </c>
      <c r="N13" s="28">
        <v>356.29</v>
      </c>
      <c r="O13" s="25">
        <v>0</v>
      </c>
      <c r="P13" s="29">
        <f>+P12-Table134713[[#This Row],[Pagado por MVPX]]</f>
        <v>-1309.5</v>
      </c>
    </row>
    <row r="14" spans="2:16" s="12" customFormat="1" x14ac:dyDescent="0.25">
      <c r="B14" s="47">
        <v>45721</v>
      </c>
      <c r="C14" s="27"/>
      <c r="D14" s="27"/>
      <c r="E14" s="27"/>
      <c r="F14" s="27" t="s">
        <v>218</v>
      </c>
      <c r="G14" s="27" t="s">
        <v>232</v>
      </c>
      <c r="H14" s="28">
        <v>0</v>
      </c>
      <c r="I14" s="28">
        <v>0</v>
      </c>
      <c r="J14" s="28"/>
      <c r="K14" s="28">
        <v>0</v>
      </c>
      <c r="L14" s="28">
        <v>0</v>
      </c>
      <c r="M14" s="25">
        <v>0</v>
      </c>
      <c r="N14" s="28">
        <v>53.09</v>
      </c>
      <c r="O14" s="25">
        <v>0</v>
      </c>
      <c r="P14" s="29">
        <f>+P13-Table134713[[#This Row],[Pagado por MVPX]]</f>
        <v>-1362.59</v>
      </c>
    </row>
    <row r="15" spans="2:16" s="12" customFormat="1" x14ac:dyDescent="0.25">
      <c r="B15" s="47">
        <v>45722</v>
      </c>
      <c r="C15" s="27"/>
      <c r="D15" s="27"/>
      <c r="E15" s="27"/>
      <c r="F15" s="27" t="s">
        <v>219</v>
      </c>
      <c r="G15" s="27" t="s">
        <v>232</v>
      </c>
      <c r="H15" s="28">
        <v>0</v>
      </c>
      <c r="I15" s="28">
        <v>0</v>
      </c>
      <c r="J15" s="28"/>
      <c r="K15" s="28">
        <v>0</v>
      </c>
      <c r="L15" s="28">
        <v>0</v>
      </c>
      <c r="M15" s="25">
        <v>0</v>
      </c>
      <c r="N15" s="28">
        <v>30.12</v>
      </c>
      <c r="O15" s="25">
        <v>0</v>
      </c>
      <c r="P15" s="29">
        <f>+P14-Table134713[[#This Row],[Pagado por MVPX]]</f>
        <v>-1392.7099999999998</v>
      </c>
    </row>
    <row r="16" spans="2:16" s="12" customFormat="1" x14ac:dyDescent="0.25">
      <c r="B16" s="47">
        <v>45722</v>
      </c>
      <c r="C16" s="27"/>
      <c r="D16" s="27"/>
      <c r="E16" s="27"/>
      <c r="F16" s="27" t="s">
        <v>220</v>
      </c>
      <c r="G16" s="27" t="s">
        <v>232</v>
      </c>
      <c r="H16" s="28">
        <v>0</v>
      </c>
      <c r="I16" s="28">
        <v>0</v>
      </c>
      <c r="J16" s="28"/>
      <c r="K16" s="28">
        <v>0</v>
      </c>
      <c r="L16" s="28">
        <v>0</v>
      </c>
      <c r="M16" s="25">
        <v>0</v>
      </c>
      <c r="N16" s="28">
        <v>48.64</v>
      </c>
      <c r="O16" s="25">
        <v>0</v>
      </c>
      <c r="P16" s="29">
        <f>+P15-Table134713[[#This Row],[Pagado por MVPX]]</f>
        <v>-1441.35</v>
      </c>
    </row>
    <row r="17" spans="2:16" s="12" customFormat="1" x14ac:dyDescent="0.25">
      <c r="B17" s="47">
        <v>45723</v>
      </c>
      <c r="C17" s="27"/>
      <c r="D17" s="27"/>
      <c r="E17" s="27"/>
      <c r="F17" s="27" t="s">
        <v>221</v>
      </c>
      <c r="G17" s="27" t="s">
        <v>232</v>
      </c>
      <c r="H17" s="28">
        <v>0</v>
      </c>
      <c r="I17" s="28">
        <v>0</v>
      </c>
      <c r="J17" s="28"/>
      <c r="K17" s="28">
        <v>0</v>
      </c>
      <c r="L17" s="28">
        <v>0</v>
      </c>
      <c r="M17" s="25">
        <v>0</v>
      </c>
      <c r="N17" s="28">
        <v>139.04</v>
      </c>
      <c r="O17" s="25">
        <v>0</v>
      </c>
      <c r="P17" s="29">
        <f>+P16-Table134713[[#This Row],[Pagado por MVPX]]</f>
        <v>-1580.3899999999999</v>
      </c>
    </row>
    <row r="18" spans="2:16" s="12" customFormat="1" x14ac:dyDescent="0.25">
      <c r="B18" s="47">
        <v>45724</v>
      </c>
      <c r="C18" s="27"/>
      <c r="D18" s="27"/>
      <c r="E18" s="27"/>
      <c r="F18" s="27" t="s">
        <v>222</v>
      </c>
      <c r="G18" s="27" t="s">
        <v>232</v>
      </c>
      <c r="H18" s="28">
        <v>0</v>
      </c>
      <c r="I18" s="28">
        <v>0</v>
      </c>
      <c r="J18" s="28"/>
      <c r="K18" s="28">
        <v>0</v>
      </c>
      <c r="L18" s="28">
        <v>0</v>
      </c>
      <c r="M18" s="25">
        <v>0</v>
      </c>
      <c r="N18" s="28">
        <v>62.35</v>
      </c>
      <c r="O18" s="25">
        <v>0</v>
      </c>
      <c r="P18" s="29">
        <f>+P17-Table134713[[#This Row],[Pagado por MVPX]]</f>
        <v>-1642.7399999999998</v>
      </c>
    </row>
    <row r="19" spans="2:16" s="12" customFormat="1" x14ac:dyDescent="0.25">
      <c r="B19" s="47">
        <v>45724</v>
      </c>
      <c r="C19" s="27"/>
      <c r="D19" s="27"/>
      <c r="E19" s="27"/>
      <c r="F19" s="27" t="s">
        <v>222</v>
      </c>
      <c r="G19" s="27" t="s">
        <v>232</v>
      </c>
      <c r="H19" s="28">
        <v>0</v>
      </c>
      <c r="I19" s="28">
        <v>0</v>
      </c>
      <c r="J19" s="28"/>
      <c r="K19" s="28">
        <v>0</v>
      </c>
      <c r="L19" s="28">
        <v>0</v>
      </c>
      <c r="M19" s="25">
        <v>0</v>
      </c>
      <c r="N19" s="28">
        <v>6.11</v>
      </c>
      <c r="O19" s="25">
        <v>0</v>
      </c>
      <c r="P19" s="29">
        <f>+P18-Table134713[[#This Row],[Pagado por MVPX]]</f>
        <v>-1648.8499999999997</v>
      </c>
    </row>
    <row r="20" spans="2:16" s="12" customFormat="1" x14ac:dyDescent="0.25">
      <c r="B20" s="47">
        <v>45726</v>
      </c>
      <c r="C20" s="27"/>
      <c r="D20" s="27"/>
      <c r="E20" s="27"/>
      <c r="F20" s="27" t="s">
        <v>223</v>
      </c>
      <c r="G20" s="27" t="s">
        <v>232</v>
      </c>
      <c r="H20" s="28">
        <v>0</v>
      </c>
      <c r="I20" s="28">
        <v>0</v>
      </c>
      <c r="J20" s="28"/>
      <c r="K20" s="28">
        <v>0</v>
      </c>
      <c r="L20" s="28">
        <v>0</v>
      </c>
      <c r="M20" s="25">
        <v>0</v>
      </c>
      <c r="N20" s="28">
        <v>19.04</v>
      </c>
      <c r="O20" s="25">
        <v>0</v>
      </c>
      <c r="P20" s="29">
        <f>+P19-Table134713[[#This Row],[Pagado por MVPX]]</f>
        <v>-1667.8899999999996</v>
      </c>
    </row>
    <row r="21" spans="2:16" s="12" customFormat="1" x14ac:dyDescent="0.25">
      <c r="B21" s="47">
        <v>45726</v>
      </c>
      <c r="C21" s="27"/>
      <c r="D21" s="27"/>
      <c r="E21" s="27"/>
      <c r="F21" s="27" t="s">
        <v>222</v>
      </c>
      <c r="G21" s="27" t="s">
        <v>232</v>
      </c>
      <c r="H21" s="28">
        <v>0</v>
      </c>
      <c r="I21" s="28">
        <v>0</v>
      </c>
      <c r="J21" s="28"/>
      <c r="K21" s="28">
        <v>0</v>
      </c>
      <c r="L21" s="28">
        <v>0</v>
      </c>
      <c r="M21" s="25">
        <v>0</v>
      </c>
      <c r="N21" s="28">
        <v>33.01</v>
      </c>
      <c r="O21" s="25">
        <v>0</v>
      </c>
      <c r="P21" s="29">
        <f>+P20-Table134713[[#This Row],[Pagado por MVPX]]</f>
        <v>-1700.8999999999996</v>
      </c>
    </row>
    <row r="22" spans="2:16" s="12" customFormat="1" x14ac:dyDescent="0.25">
      <c r="B22" s="47">
        <v>45726</v>
      </c>
      <c r="C22" s="27"/>
      <c r="D22" s="27"/>
      <c r="E22" s="27"/>
      <c r="F22" s="27" t="s">
        <v>222</v>
      </c>
      <c r="G22" s="27" t="s">
        <v>232</v>
      </c>
      <c r="H22" s="28">
        <v>0</v>
      </c>
      <c r="I22" s="28">
        <v>0</v>
      </c>
      <c r="J22" s="28"/>
      <c r="K22" s="28">
        <v>0</v>
      </c>
      <c r="L22" s="28">
        <v>0</v>
      </c>
      <c r="M22" s="25">
        <v>0</v>
      </c>
      <c r="N22" s="28">
        <v>4.3600000000000003</v>
      </c>
      <c r="O22" s="25">
        <v>0</v>
      </c>
      <c r="P22" s="29">
        <f>+P21-Table134713[[#This Row],[Pagado por MVPX]]</f>
        <v>-1705.2599999999995</v>
      </c>
    </row>
    <row r="23" spans="2:16" s="12" customFormat="1" x14ac:dyDescent="0.25">
      <c r="B23" s="47">
        <v>45726</v>
      </c>
      <c r="C23" s="27"/>
      <c r="D23" s="27"/>
      <c r="E23" s="27"/>
      <c r="F23" s="27" t="s">
        <v>222</v>
      </c>
      <c r="G23" s="27" t="s">
        <v>232</v>
      </c>
      <c r="H23" s="28">
        <v>0</v>
      </c>
      <c r="I23" s="28">
        <v>0</v>
      </c>
      <c r="J23" s="28"/>
      <c r="K23" s="28">
        <v>0</v>
      </c>
      <c r="L23" s="28">
        <v>0</v>
      </c>
      <c r="M23" s="25">
        <v>0</v>
      </c>
      <c r="N23" s="28">
        <v>24</v>
      </c>
      <c r="O23" s="25">
        <v>0</v>
      </c>
      <c r="P23" s="29">
        <f>+P22-Table134713[[#This Row],[Pagado por MVPX]]</f>
        <v>-1729.2599999999995</v>
      </c>
    </row>
    <row r="24" spans="2:16" s="12" customFormat="1" x14ac:dyDescent="0.25">
      <c r="B24" s="47">
        <v>45726</v>
      </c>
      <c r="C24" s="27"/>
      <c r="D24" s="27"/>
      <c r="E24" s="27"/>
      <c r="F24" s="27" t="s">
        <v>222</v>
      </c>
      <c r="G24" s="27" t="s">
        <v>232</v>
      </c>
      <c r="H24" s="28">
        <v>0</v>
      </c>
      <c r="I24" s="28">
        <v>0</v>
      </c>
      <c r="J24" s="28"/>
      <c r="K24" s="28">
        <v>0</v>
      </c>
      <c r="L24" s="28">
        <v>0</v>
      </c>
      <c r="M24" s="25">
        <v>0</v>
      </c>
      <c r="N24" s="28">
        <v>30.19</v>
      </c>
      <c r="O24" s="25">
        <v>0</v>
      </c>
      <c r="P24" s="29">
        <f>+P23-Table134713[[#This Row],[Pagado por MVPX]]</f>
        <v>-1759.4499999999996</v>
      </c>
    </row>
    <row r="25" spans="2:16" s="12" customFormat="1" x14ac:dyDescent="0.25">
      <c r="B25" s="47">
        <v>45727</v>
      </c>
      <c r="C25" s="27"/>
      <c r="D25" s="27"/>
      <c r="E25" s="27"/>
      <c r="F25" s="27" t="s">
        <v>224</v>
      </c>
      <c r="G25" s="27" t="s">
        <v>232</v>
      </c>
      <c r="H25" s="28">
        <v>0</v>
      </c>
      <c r="I25" s="28">
        <v>0</v>
      </c>
      <c r="J25" s="28"/>
      <c r="K25" s="28">
        <v>0</v>
      </c>
      <c r="L25" s="28">
        <v>0</v>
      </c>
      <c r="M25" s="25">
        <v>0</v>
      </c>
      <c r="N25" s="28">
        <v>43.89</v>
      </c>
      <c r="O25" s="25">
        <v>0</v>
      </c>
      <c r="P25" s="29">
        <f>+P24-Table134713[[#This Row],[Pagado por MVPX]]</f>
        <v>-1803.3399999999997</v>
      </c>
    </row>
    <row r="26" spans="2:16" s="12" customFormat="1" x14ac:dyDescent="0.25">
      <c r="B26" s="47">
        <v>45727</v>
      </c>
      <c r="C26" s="27"/>
      <c r="D26" s="27"/>
      <c r="E26" s="27"/>
      <c r="F26" s="27" t="s">
        <v>225</v>
      </c>
      <c r="G26" s="27" t="s">
        <v>232</v>
      </c>
      <c r="H26" s="28">
        <v>0</v>
      </c>
      <c r="I26" s="28">
        <v>0</v>
      </c>
      <c r="J26" s="28"/>
      <c r="K26" s="28">
        <v>0</v>
      </c>
      <c r="L26" s="28">
        <v>0</v>
      </c>
      <c r="M26" s="25">
        <v>0</v>
      </c>
      <c r="N26" s="28">
        <v>19.11</v>
      </c>
      <c r="O26" s="25">
        <v>0</v>
      </c>
      <c r="P26" s="29">
        <f>+P25-Table134713[[#This Row],[Pagado por MVPX]]</f>
        <v>-1822.4499999999996</v>
      </c>
    </row>
    <row r="27" spans="2:16" s="12" customFormat="1" x14ac:dyDescent="0.25">
      <c r="B27" s="47">
        <v>45727</v>
      </c>
      <c r="C27" s="27"/>
      <c r="D27" s="27"/>
      <c r="E27" s="27"/>
      <c r="F27" s="27" t="s">
        <v>225</v>
      </c>
      <c r="G27" s="27" t="s">
        <v>232</v>
      </c>
      <c r="H27" s="28">
        <v>0</v>
      </c>
      <c r="I27" s="28">
        <v>0</v>
      </c>
      <c r="J27" s="28"/>
      <c r="K27" s="28">
        <v>0</v>
      </c>
      <c r="L27" s="28">
        <v>0</v>
      </c>
      <c r="M27" s="25">
        <v>0</v>
      </c>
      <c r="N27" s="28">
        <v>37.880000000000003</v>
      </c>
      <c r="O27" s="25">
        <v>0</v>
      </c>
      <c r="P27" s="29">
        <f>+P26-Table134713[[#This Row],[Pagado por MVPX]]</f>
        <v>-1860.3299999999997</v>
      </c>
    </row>
    <row r="28" spans="2:16" s="12" customFormat="1" x14ac:dyDescent="0.25">
      <c r="B28" s="47">
        <v>45728</v>
      </c>
      <c r="C28" s="27"/>
      <c r="D28" s="27"/>
      <c r="E28" s="27"/>
      <c r="F28" s="27" t="s">
        <v>226</v>
      </c>
      <c r="G28" s="27" t="s">
        <v>232</v>
      </c>
      <c r="H28" s="28">
        <v>0</v>
      </c>
      <c r="I28" s="28">
        <v>0</v>
      </c>
      <c r="J28" s="28"/>
      <c r="K28" s="28">
        <v>0</v>
      </c>
      <c r="L28" s="28">
        <v>0</v>
      </c>
      <c r="M28" s="25">
        <v>0</v>
      </c>
      <c r="N28" s="28">
        <v>2.8</v>
      </c>
      <c r="O28" s="25">
        <v>0</v>
      </c>
      <c r="P28" s="29">
        <f>+P27-Table134713[[#This Row],[Pagado por MVPX]]</f>
        <v>-1863.1299999999997</v>
      </c>
    </row>
    <row r="29" spans="2:16" s="12" customFormat="1" x14ac:dyDescent="0.25">
      <c r="B29" s="47">
        <v>45728</v>
      </c>
      <c r="C29" s="27"/>
      <c r="D29" s="27"/>
      <c r="E29" s="27"/>
      <c r="F29" s="27" t="s">
        <v>220</v>
      </c>
      <c r="G29" s="27" t="s">
        <v>232</v>
      </c>
      <c r="H29" s="28">
        <v>0</v>
      </c>
      <c r="I29" s="28">
        <v>0</v>
      </c>
      <c r="J29" s="28"/>
      <c r="K29" s="28">
        <v>0</v>
      </c>
      <c r="L29" s="28">
        <v>0</v>
      </c>
      <c r="M29" s="25">
        <v>0</v>
      </c>
      <c r="N29" s="28">
        <v>138.81</v>
      </c>
      <c r="O29" s="25">
        <v>0</v>
      </c>
      <c r="P29" s="29">
        <f>+P28-Table134713[[#This Row],[Pagado por MVPX]]</f>
        <v>-2001.9399999999996</v>
      </c>
    </row>
    <row r="30" spans="2:16" s="12" customFormat="1" x14ac:dyDescent="0.25">
      <c r="B30" s="47">
        <v>45729</v>
      </c>
      <c r="C30" s="27"/>
      <c r="D30" s="27"/>
      <c r="E30" s="27"/>
      <c r="F30" s="27" t="s">
        <v>217</v>
      </c>
      <c r="G30" s="27" t="s">
        <v>232</v>
      </c>
      <c r="H30" s="28">
        <v>0</v>
      </c>
      <c r="I30" s="28">
        <v>0</v>
      </c>
      <c r="J30" s="28"/>
      <c r="K30" s="28">
        <v>0</v>
      </c>
      <c r="L30" s="28">
        <v>0</v>
      </c>
      <c r="M30" s="25">
        <v>0</v>
      </c>
      <c r="N30" s="28">
        <v>17.920000000000002</v>
      </c>
      <c r="O30" s="25">
        <v>0</v>
      </c>
      <c r="P30" s="29">
        <f>+P29-Table134713[[#This Row],[Pagado por MVPX]]</f>
        <v>-2019.8599999999997</v>
      </c>
    </row>
    <row r="31" spans="2:16" s="12" customFormat="1" x14ac:dyDescent="0.25">
      <c r="B31" s="47">
        <v>45729</v>
      </c>
      <c r="C31" s="27"/>
      <c r="D31" s="27"/>
      <c r="E31" s="27"/>
      <c r="F31" s="27" t="s">
        <v>217</v>
      </c>
      <c r="G31" s="27" t="s">
        <v>232</v>
      </c>
      <c r="H31" s="28">
        <v>0</v>
      </c>
      <c r="I31" s="28">
        <v>0</v>
      </c>
      <c r="J31" s="28"/>
      <c r="K31" s="28">
        <v>0</v>
      </c>
      <c r="L31" s="28">
        <v>0</v>
      </c>
      <c r="M31" s="25">
        <v>0</v>
      </c>
      <c r="N31" s="28">
        <v>31.37</v>
      </c>
      <c r="O31" s="25">
        <v>0</v>
      </c>
      <c r="P31" s="29">
        <f>+P30-Table134713[[#This Row],[Pagado por MVPX]]</f>
        <v>-2051.2299999999996</v>
      </c>
    </row>
    <row r="32" spans="2:16" s="12" customFormat="1" x14ac:dyDescent="0.25">
      <c r="B32" s="47">
        <v>45715</v>
      </c>
      <c r="C32" s="27"/>
      <c r="D32" s="27"/>
      <c r="E32" s="27"/>
      <c r="F32" s="27" t="s">
        <v>227</v>
      </c>
      <c r="G32" s="27" t="s">
        <v>233</v>
      </c>
      <c r="H32" s="28">
        <v>0</v>
      </c>
      <c r="I32" s="28">
        <v>0</v>
      </c>
      <c r="J32" s="28"/>
      <c r="K32" s="28">
        <v>0</v>
      </c>
      <c r="L32" s="28">
        <v>0</v>
      </c>
      <c r="M32" s="25">
        <v>0</v>
      </c>
      <c r="N32" s="28">
        <v>362.6</v>
      </c>
      <c r="O32" s="25">
        <v>0</v>
      </c>
      <c r="P32" s="29">
        <f>+P31-Table134713[[#This Row],[Pagado por MVPX]]</f>
        <v>-2413.8299999999995</v>
      </c>
    </row>
    <row r="33" spans="2:16" s="12" customFormat="1" x14ac:dyDescent="0.25">
      <c r="B33" s="47">
        <v>45791</v>
      </c>
      <c r="C33" s="27"/>
      <c r="D33" s="27"/>
      <c r="E33" s="27"/>
      <c r="F33" s="27" t="s">
        <v>228</v>
      </c>
      <c r="G33" s="27" t="s">
        <v>234</v>
      </c>
      <c r="H33" s="28">
        <v>0</v>
      </c>
      <c r="I33" s="28">
        <v>0</v>
      </c>
      <c r="J33" s="28"/>
      <c r="K33" s="28">
        <v>0</v>
      </c>
      <c r="L33" s="28">
        <v>0</v>
      </c>
      <c r="M33" s="25">
        <v>0</v>
      </c>
      <c r="N33" s="28">
        <v>125</v>
      </c>
      <c r="O33" s="25">
        <v>0</v>
      </c>
      <c r="P33" s="29">
        <f>+P32-Table134713[[#This Row],[Pagado por MVPX]]</f>
        <v>-2538.8299999999995</v>
      </c>
    </row>
    <row r="34" spans="2:16" s="12" customFormat="1" x14ac:dyDescent="0.25">
      <c r="B34" s="47">
        <v>45808</v>
      </c>
      <c r="C34" s="27"/>
      <c r="D34" s="27"/>
      <c r="E34" s="27"/>
      <c r="F34" s="27" t="s">
        <v>214</v>
      </c>
      <c r="G34" s="27" t="s">
        <v>230</v>
      </c>
      <c r="H34" s="28">
        <v>0</v>
      </c>
      <c r="I34" s="28">
        <v>0</v>
      </c>
      <c r="J34" s="28"/>
      <c r="K34" s="28">
        <v>0</v>
      </c>
      <c r="L34" s="28">
        <v>0</v>
      </c>
      <c r="M34" s="25">
        <v>0</v>
      </c>
      <c r="N34" s="28">
        <v>250</v>
      </c>
      <c r="O34" s="25">
        <v>0</v>
      </c>
      <c r="P34" s="29">
        <f>+P33-Table134713[[#This Row],[Pagado por MVPX]]</f>
        <v>-2788.8299999999995</v>
      </c>
    </row>
    <row r="35" spans="2:16" s="12" customFormat="1" ht="18.75" thickBot="1" x14ac:dyDescent="0.3">
      <c r="B35" s="47">
        <v>45864</v>
      </c>
      <c r="C35" s="27"/>
      <c r="D35" s="27"/>
      <c r="E35" s="27"/>
      <c r="F35" s="27" t="s">
        <v>214</v>
      </c>
      <c r="G35" s="27" t="s">
        <v>230</v>
      </c>
      <c r="H35" s="28">
        <v>0</v>
      </c>
      <c r="I35" s="28">
        <v>0</v>
      </c>
      <c r="J35" s="28"/>
      <c r="K35" s="28">
        <v>0</v>
      </c>
      <c r="L35" s="28">
        <v>0</v>
      </c>
      <c r="M35" s="25">
        <v>0</v>
      </c>
      <c r="N35" s="28">
        <v>200</v>
      </c>
      <c r="O35" s="25">
        <v>0</v>
      </c>
      <c r="P35" s="29">
        <f>+P34-Table134713[[#This Row],[Pagado por MVPX]]</f>
        <v>-2988.8299999999995</v>
      </c>
    </row>
    <row r="36" spans="2:16" ht="18.75" thickBot="1" x14ac:dyDescent="0.5">
      <c r="B36" s="22"/>
      <c r="C36" s="23"/>
      <c r="D36" s="23"/>
      <c r="E36" s="23"/>
      <c r="F36" s="23"/>
      <c r="G36" s="34" t="s">
        <v>356</v>
      </c>
      <c r="H36" s="35">
        <f>SUBTOTAL(109,Table134713[Valor de la Factura del Cliente])</f>
        <v>0</v>
      </c>
      <c r="I36" s="35">
        <f>SUBTOTAL(109,Table134713[Cargos Bancarios])</f>
        <v>0</v>
      </c>
      <c r="J36" s="35"/>
      <c r="K36" s="35">
        <f>SUBTOTAL(109,Table134713[20% Comisión])</f>
        <v>0</v>
      </c>
      <c r="L36" s="35">
        <f>SUBTOTAL(109,Table134713[5% Legal])</f>
        <v>0</v>
      </c>
      <c r="M36" s="35">
        <f>SUBTOTAL(109,Table134713[Retención de Impuestos])</f>
        <v>0</v>
      </c>
      <c r="N36" s="35">
        <f>SUBTOTAL(109,Table134713[Pagado por MVPX])</f>
        <v>2988.8299999999995</v>
      </c>
      <c r="O36" s="35">
        <f>SUBTOTAL(109,Table134713[Avance])</f>
        <v>0</v>
      </c>
      <c r="P36" s="36">
        <f>+P35</f>
        <v>-2988.8299999999995</v>
      </c>
    </row>
  </sheetData>
  <mergeCells count="1">
    <mergeCell ref="B7:P7"/>
  </mergeCells>
  <printOptions horizontalCentered="1"/>
  <pageMargins left="0.25" right="0.25" top="0.75" bottom="0.75" header="0.3" footer="0.3"/>
  <pageSetup scale="49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9A4C-A4AC-43FB-8D56-7A6485BFBED6}">
  <sheetPr>
    <pageSetUpPr fitToPage="1"/>
  </sheetPr>
  <dimension ref="B1:P34"/>
  <sheetViews>
    <sheetView showGridLines="0" view="pageLayout" topLeftCell="D3" zoomScale="70" zoomScaleNormal="100" zoomScaleSheetLayoutView="70" zoomScalePageLayoutView="70" workbookViewId="0">
      <selection activeCell="J9" sqref="J9"/>
    </sheetView>
  </sheetViews>
  <sheetFormatPr defaultRowHeight="18" x14ac:dyDescent="0.45"/>
  <cols>
    <col min="1" max="1" width="1" style="8" customWidth="1"/>
    <col min="2" max="2" width="12.7109375" style="8" customWidth="1"/>
    <col min="3" max="3" width="12.42578125" style="8" customWidth="1"/>
    <col min="4" max="4" width="9.140625" style="8" customWidth="1"/>
    <col min="5" max="5" width="14.140625" style="8" customWidth="1"/>
    <col min="6" max="6" width="29.85546875" style="8" customWidth="1"/>
    <col min="7" max="7" width="47.5703125" style="8" customWidth="1"/>
    <col min="8" max="8" width="19.7109375" style="8" customWidth="1"/>
    <col min="9" max="10" width="14.42578125" style="8" customWidth="1"/>
    <col min="11" max="11" width="15.85546875" style="8" customWidth="1"/>
    <col min="12" max="12" width="14.140625" style="8" customWidth="1"/>
    <col min="13" max="13" width="16.5703125" style="8" customWidth="1"/>
    <col min="14" max="14" width="17" style="8" bestFit="1" customWidth="1"/>
    <col min="15" max="15" width="17.42578125" style="8" bestFit="1" customWidth="1"/>
    <col min="16" max="16" width="18" style="8" bestFit="1" customWidth="1"/>
    <col min="17" max="16384" width="9.140625" style="8"/>
  </cols>
  <sheetData>
    <row r="1" spans="2:16" ht="18" customHeight="1" thickBot="1" x14ac:dyDescent="0.5">
      <c r="H1" s="10"/>
      <c r="I1" s="10"/>
      <c r="J1" s="10"/>
      <c r="K1" s="10"/>
      <c r="L1" s="10"/>
      <c r="M1" s="10"/>
    </row>
    <row r="2" spans="2:16" ht="18" customHeight="1" x14ac:dyDescent="0.45">
      <c r="B2" s="13" t="s">
        <v>352</v>
      </c>
      <c r="C2" s="14"/>
      <c r="D2" s="15"/>
      <c r="E2" s="50" t="s">
        <v>490</v>
      </c>
      <c r="F2" s="14"/>
      <c r="G2" s="16"/>
      <c r="H2" s="10"/>
      <c r="I2" s="10"/>
      <c r="J2" s="10"/>
      <c r="K2" s="10"/>
      <c r="L2" s="10"/>
      <c r="M2" s="10"/>
    </row>
    <row r="3" spans="2:16" ht="18" customHeight="1" x14ac:dyDescent="0.45">
      <c r="B3" s="17" t="s">
        <v>353</v>
      </c>
      <c r="E3" s="51" t="str">
        <f>+E2</f>
        <v>Cesar Da Gold</v>
      </c>
      <c r="G3" s="18"/>
      <c r="H3" s="10"/>
      <c r="I3" s="10"/>
      <c r="J3" s="10"/>
      <c r="K3" s="10"/>
      <c r="L3" s="10"/>
      <c r="M3" s="10"/>
    </row>
    <row r="4" spans="2:16" x14ac:dyDescent="0.45">
      <c r="B4" s="17" t="s">
        <v>354</v>
      </c>
      <c r="E4" s="37">
        <f>MIN(Table13471516[Fecha])</f>
        <v>44907</v>
      </c>
      <c r="G4" s="18"/>
    </row>
    <row r="5" spans="2:16" ht="18.75" thickBot="1" x14ac:dyDescent="0.5">
      <c r="B5" s="19" t="s">
        <v>343</v>
      </c>
      <c r="C5" s="20"/>
      <c r="D5" s="20"/>
      <c r="E5" s="38">
        <f>MAX(Table13471516[Fecha])</f>
        <v>45380</v>
      </c>
      <c r="F5" s="20"/>
      <c r="G5" s="21"/>
    </row>
    <row r="6" spans="2:16" ht="18.75" thickBot="1" x14ac:dyDescent="0.5"/>
    <row r="7" spans="2:16" x14ac:dyDescent="0.45">
      <c r="B7" s="75" t="s">
        <v>345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7"/>
    </row>
    <row r="8" spans="2:16" s="11" customFormat="1" ht="52.5" thickBot="1" x14ac:dyDescent="0.5">
      <c r="B8" s="39" t="s">
        <v>63</v>
      </c>
      <c r="C8" s="40" t="s">
        <v>349</v>
      </c>
      <c r="D8" s="40" t="s">
        <v>344</v>
      </c>
      <c r="E8" s="40" t="s">
        <v>350</v>
      </c>
      <c r="F8" s="40" t="s">
        <v>64</v>
      </c>
      <c r="G8" s="40" t="s">
        <v>65</v>
      </c>
      <c r="H8" s="40" t="s">
        <v>351</v>
      </c>
      <c r="I8" s="40" t="s">
        <v>66</v>
      </c>
      <c r="J8" s="40" t="s">
        <v>548</v>
      </c>
      <c r="K8" s="40" t="s">
        <v>347</v>
      </c>
      <c r="L8" s="40" t="s">
        <v>348</v>
      </c>
      <c r="M8" s="40" t="s">
        <v>346</v>
      </c>
      <c r="N8" s="40" t="s">
        <v>357</v>
      </c>
      <c r="O8" s="40" t="s">
        <v>295</v>
      </c>
      <c r="P8" s="41" t="s">
        <v>67</v>
      </c>
    </row>
    <row r="9" spans="2:16" s="12" customFormat="1" x14ac:dyDescent="0.25">
      <c r="B9" s="46">
        <v>44918</v>
      </c>
      <c r="C9" s="24"/>
      <c r="D9" s="24"/>
      <c r="E9" s="24"/>
      <c r="F9" s="24" t="s">
        <v>490</v>
      </c>
      <c r="G9" s="24" t="s">
        <v>491</v>
      </c>
      <c r="H9" s="25"/>
      <c r="I9" s="25"/>
      <c r="J9" s="25"/>
      <c r="K9" s="25">
        <v>0</v>
      </c>
      <c r="L9" s="25">
        <v>0</v>
      </c>
      <c r="M9" s="25"/>
      <c r="N9" s="25"/>
      <c r="O9" s="25">
        <v>-2500</v>
      </c>
      <c r="P9" s="26">
        <f>+Table13471516[[#This Row],[Valor de la Factura del Cliente]]+Table13471516[[#This Row],[Avance]]</f>
        <v>-2500</v>
      </c>
    </row>
    <row r="10" spans="2:16" s="12" customFormat="1" x14ac:dyDescent="0.25">
      <c r="B10" s="47">
        <v>44907</v>
      </c>
      <c r="C10" s="27"/>
      <c r="D10" s="27"/>
      <c r="E10" s="27"/>
      <c r="F10" s="27" t="s">
        <v>490</v>
      </c>
      <c r="G10" s="27" t="s">
        <v>491</v>
      </c>
      <c r="H10" s="28"/>
      <c r="I10" s="28"/>
      <c r="J10" s="28"/>
      <c r="K10" s="28">
        <v>0</v>
      </c>
      <c r="L10" s="28">
        <v>0</v>
      </c>
      <c r="M10" s="28"/>
      <c r="N10" s="28"/>
      <c r="O10" s="28">
        <v>-1000</v>
      </c>
      <c r="P10" s="26">
        <f>+Table13471516[[#This Row],[Valor de la Factura del Cliente]]+Table13471516[[#This Row],[Avance]]+P9</f>
        <v>-3500</v>
      </c>
    </row>
    <row r="11" spans="2:16" s="12" customFormat="1" x14ac:dyDescent="0.25">
      <c r="B11" s="47">
        <v>45004</v>
      </c>
      <c r="C11" s="27"/>
      <c r="D11" s="27"/>
      <c r="E11" s="27"/>
      <c r="F11" s="27" t="s">
        <v>490</v>
      </c>
      <c r="G11" s="27" t="s">
        <v>491</v>
      </c>
      <c r="H11" s="28"/>
      <c r="I11" s="28"/>
      <c r="J11" s="28"/>
      <c r="K11" s="28">
        <v>0</v>
      </c>
      <c r="L11" s="28">
        <v>0</v>
      </c>
      <c r="M11" s="28"/>
      <c r="N11" s="28"/>
      <c r="O11" s="28">
        <v>-525</v>
      </c>
      <c r="P11" s="26">
        <f>+Table13471516[[#This Row],[Valor de la Factura del Cliente]]+Table13471516[[#This Row],[Avance]]+P10</f>
        <v>-4025</v>
      </c>
    </row>
    <row r="12" spans="2:16" s="12" customFormat="1" x14ac:dyDescent="0.25">
      <c r="B12" s="47">
        <v>44994</v>
      </c>
      <c r="C12" s="27"/>
      <c r="D12" s="27"/>
      <c r="E12" s="27"/>
      <c r="F12" s="27" t="s">
        <v>490</v>
      </c>
      <c r="G12" s="27" t="s">
        <v>492</v>
      </c>
      <c r="H12" s="28"/>
      <c r="I12" s="28"/>
      <c r="J12" s="28"/>
      <c r="K12" s="28">
        <v>0</v>
      </c>
      <c r="L12" s="28">
        <v>0</v>
      </c>
      <c r="M12" s="28"/>
      <c r="N12" s="28"/>
      <c r="O12" s="28">
        <v>-2325</v>
      </c>
      <c r="P12" s="26">
        <f>+Table13471516[[#This Row],[Valor de la Factura del Cliente]]+Table13471516[[#This Row],[Avance]]+P11</f>
        <v>-6350</v>
      </c>
    </row>
    <row r="13" spans="2:16" s="12" customFormat="1" x14ac:dyDescent="0.25">
      <c r="B13" s="47">
        <v>45015</v>
      </c>
      <c r="C13" s="27"/>
      <c r="D13" s="27"/>
      <c r="E13" s="27"/>
      <c r="F13" s="27" t="s">
        <v>490</v>
      </c>
      <c r="G13" s="27" t="s">
        <v>491</v>
      </c>
      <c r="H13" s="28"/>
      <c r="I13" s="28"/>
      <c r="J13" s="28"/>
      <c r="K13" s="28">
        <v>0</v>
      </c>
      <c r="L13" s="28">
        <v>0</v>
      </c>
      <c r="M13" s="28"/>
      <c r="N13" s="28"/>
      <c r="O13" s="28">
        <v>-500</v>
      </c>
      <c r="P13" s="26">
        <f>+Table13471516[[#This Row],[Valor de la Factura del Cliente]]+Table13471516[[#This Row],[Avance]]+P12</f>
        <v>-6850</v>
      </c>
    </row>
    <row r="14" spans="2:16" s="12" customFormat="1" x14ac:dyDescent="0.25">
      <c r="B14" s="47">
        <v>45029</v>
      </c>
      <c r="C14" s="27"/>
      <c r="D14" s="27"/>
      <c r="E14" s="27"/>
      <c r="F14" s="27" t="s">
        <v>490</v>
      </c>
      <c r="G14" s="27" t="s">
        <v>491</v>
      </c>
      <c r="H14" s="28"/>
      <c r="I14" s="28"/>
      <c r="J14" s="28"/>
      <c r="K14" s="28">
        <v>0</v>
      </c>
      <c r="L14" s="28">
        <v>0</v>
      </c>
      <c r="M14" s="28"/>
      <c r="N14" s="28"/>
      <c r="O14" s="28">
        <v>-500</v>
      </c>
      <c r="P14" s="26">
        <f>+Table13471516[[#This Row],[Valor de la Factura del Cliente]]+Table13471516[[#This Row],[Avance]]+P13</f>
        <v>-7350</v>
      </c>
    </row>
    <row r="15" spans="2:16" s="12" customFormat="1" x14ac:dyDescent="0.25">
      <c r="B15" s="47">
        <v>45077</v>
      </c>
      <c r="C15" s="27"/>
      <c r="D15" s="27"/>
      <c r="E15" s="27"/>
      <c r="F15" s="27" t="s">
        <v>490</v>
      </c>
      <c r="G15" s="27" t="s">
        <v>491</v>
      </c>
      <c r="H15" s="55"/>
      <c r="I15" s="55"/>
      <c r="J15" s="55"/>
      <c r="K15" s="55">
        <v>0</v>
      </c>
      <c r="L15" s="55">
        <v>0</v>
      </c>
      <c r="M15" s="55"/>
      <c r="N15" s="55"/>
      <c r="O15" s="55">
        <v>-700</v>
      </c>
      <c r="P15" s="56">
        <f>+Table13471516[[#This Row],[Valor de la Factura del Cliente]]+Table13471516[[#This Row],[Avance]]+P14</f>
        <v>-8050</v>
      </c>
    </row>
    <row r="16" spans="2:16" x14ac:dyDescent="0.45">
      <c r="B16" s="47">
        <v>45047</v>
      </c>
      <c r="C16" s="43"/>
      <c r="D16" s="43"/>
      <c r="E16" s="43"/>
      <c r="F16" s="43" t="s">
        <v>490</v>
      </c>
      <c r="G16" s="43" t="s">
        <v>491</v>
      </c>
      <c r="H16" s="57"/>
      <c r="I16" s="57"/>
      <c r="J16" s="57"/>
      <c r="K16" s="57">
        <v>0</v>
      </c>
      <c r="L16" s="57">
        <v>0</v>
      </c>
      <c r="M16" s="57"/>
      <c r="N16" s="57"/>
      <c r="O16" s="57">
        <v>-200</v>
      </c>
      <c r="P16" s="56">
        <f>+Table13471516[[#This Row],[Valor de la Factura del Cliente]]+Table13471516[[#This Row],[Avance]]+P15</f>
        <v>-8250</v>
      </c>
    </row>
    <row r="17" spans="2:16" x14ac:dyDescent="0.45">
      <c r="B17" s="47">
        <v>45103</v>
      </c>
      <c r="C17" s="43"/>
      <c r="D17" s="43"/>
      <c r="E17" s="43"/>
      <c r="F17" s="43" t="s">
        <v>490</v>
      </c>
      <c r="G17" s="43" t="s">
        <v>491</v>
      </c>
      <c r="H17" s="57"/>
      <c r="I17" s="57"/>
      <c r="J17" s="57"/>
      <c r="K17" s="57">
        <v>0</v>
      </c>
      <c r="L17" s="57">
        <v>0</v>
      </c>
      <c r="M17" s="57"/>
      <c r="N17" s="57"/>
      <c r="O17" s="57">
        <v>-520</v>
      </c>
      <c r="P17" s="56">
        <f>+Table13471516[[#This Row],[Valor de la Factura del Cliente]]+Table13471516[[#This Row],[Avance]]+P16</f>
        <v>-8770</v>
      </c>
    </row>
    <row r="18" spans="2:16" x14ac:dyDescent="0.45">
      <c r="B18" s="47">
        <v>45134</v>
      </c>
      <c r="C18" s="43"/>
      <c r="D18" s="43"/>
      <c r="E18" s="43"/>
      <c r="F18" s="43" t="s">
        <v>490</v>
      </c>
      <c r="G18" s="43" t="s">
        <v>491</v>
      </c>
      <c r="H18" s="57"/>
      <c r="I18" s="57"/>
      <c r="J18" s="57"/>
      <c r="K18" s="57">
        <v>0</v>
      </c>
      <c r="L18" s="57">
        <v>0</v>
      </c>
      <c r="M18" s="57"/>
      <c r="N18" s="57"/>
      <c r="O18" s="57">
        <v>-400</v>
      </c>
      <c r="P18" s="56">
        <f>+Table13471516[[#This Row],[Valor de la Factura del Cliente]]+Table13471516[[#This Row],[Avance]]+P17</f>
        <v>-9170</v>
      </c>
    </row>
    <row r="19" spans="2:16" x14ac:dyDescent="0.45">
      <c r="B19" s="47">
        <v>45139</v>
      </c>
      <c r="C19" s="43"/>
      <c r="D19" s="43"/>
      <c r="E19" s="43"/>
      <c r="F19" s="43" t="s">
        <v>490</v>
      </c>
      <c r="G19" s="43" t="s">
        <v>491</v>
      </c>
      <c r="H19" s="57"/>
      <c r="I19" s="57"/>
      <c r="J19" s="57"/>
      <c r="K19" s="57">
        <v>0</v>
      </c>
      <c r="L19" s="57">
        <v>0</v>
      </c>
      <c r="M19" s="57"/>
      <c r="N19" s="57"/>
      <c r="O19" s="57">
        <v>-300</v>
      </c>
      <c r="P19" s="56">
        <f>+Table13471516[[#This Row],[Valor de la Factura del Cliente]]+Table13471516[[#This Row],[Avance]]+P18</f>
        <v>-9470</v>
      </c>
    </row>
    <row r="20" spans="2:16" x14ac:dyDescent="0.45">
      <c r="B20" s="47">
        <v>45163</v>
      </c>
      <c r="C20" s="43"/>
      <c r="D20" s="43"/>
      <c r="E20" s="43"/>
      <c r="F20" s="43" t="s">
        <v>490</v>
      </c>
      <c r="G20" s="43" t="s">
        <v>491</v>
      </c>
      <c r="H20" s="57"/>
      <c r="I20" s="57"/>
      <c r="J20" s="57"/>
      <c r="K20" s="57">
        <v>0</v>
      </c>
      <c r="L20" s="57">
        <v>0</v>
      </c>
      <c r="M20" s="57"/>
      <c r="N20" s="57"/>
      <c r="O20" s="57">
        <v>-300</v>
      </c>
      <c r="P20" s="56">
        <f>+Table13471516[[#This Row],[Valor de la Factura del Cliente]]+Table13471516[[#This Row],[Avance]]+P19</f>
        <v>-9770</v>
      </c>
    </row>
    <row r="21" spans="2:16" x14ac:dyDescent="0.45">
      <c r="B21" s="47">
        <v>45180</v>
      </c>
      <c r="C21" s="43"/>
      <c r="D21" s="43"/>
      <c r="E21" s="43"/>
      <c r="F21" s="43" t="s">
        <v>490</v>
      </c>
      <c r="G21" s="43" t="s">
        <v>491</v>
      </c>
      <c r="H21" s="57"/>
      <c r="I21" s="57"/>
      <c r="J21" s="57"/>
      <c r="K21" s="57">
        <v>0</v>
      </c>
      <c r="L21" s="57">
        <v>0</v>
      </c>
      <c r="M21" s="57"/>
      <c r="N21" s="57"/>
      <c r="O21" s="57">
        <v>-300</v>
      </c>
      <c r="P21" s="56">
        <f>+Table13471516[[#This Row],[Valor de la Factura del Cliente]]+Table13471516[[#This Row],[Avance]]+P20</f>
        <v>-10070</v>
      </c>
    </row>
    <row r="22" spans="2:16" ht="36" x14ac:dyDescent="0.45">
      <c r="B22" s="47">
        <v>45191</v>
      </c>
      <c r="C22" s="43"/>
      <c r="D22" s="43"/>
      <c r="E22" s="43"/>
      <c r="F22" s="43" t="s">
        <v>493</v>
      </c>
      <c r="G22" s="43" t="s">
        <v>494</v>
      </c>
      <c r="H22" s="57">
        <v>5000</v>
      </c>
      <c r="I22" s="57"/>
      <c r="J22" s="57"/>
      <c r="K22" s="57">
        <v>1000</v>
      </c>
      <c r="L22" s="57">
        <v>250</v>
      </c>
      <c r="M22" s="57"/>
      <c r="N22" s="57">
        <v>-1875</v>
      </c>
      <c r="O22" s="57">
        <v>-1875</v>
      </c>
      <c r="P22" s="56">
        <v>-10945</v>
      </c>
    </row>
    <row r="23" spans="2:16" x14ac:dyDescent="0.45">
      <c r="B23" s="47">
        <v>45201</v>
      </c>
      <c r="C23" s="43"/>
      <c r="D23" s="43"/>
      <c r="E23" s="43"/>
      <c r="F23" s="43" t="s">
        <v>490</v>
      </c>
      <c r="G23" s="43" t="s">
        <v>495</v>
      </c>
      <c r="H23" s="57"/>
      <c r="I23" s="57"/>
      <c r="J23" s="57"/>
      <c r="K23" s="57">
        <v>0</v>
      </c>
      <c r="L23" s="57">
        <v>0</v>
      </c>
      <c r="M23" s="57"/>
      <c r="N23" s="57"/>
      <c r="O23" s="57">
        <v>-1500</v>
      </c>
      <c r="P23" s="56">
        <v>-12445</v>
      </c>
    </row>
    <row r="24" spans="2:16" x14ac:dyDescent="0.45">
      <c r="B24" s="47">
        <v>45232</v>
      </c>
      <c r="C24" s="43"/>
      <c r="D24" s="43"/>
      <c r="E24" s="43"/>
      <c r="F24" s="43" t="s">
        <v>490</v>
      </c>
      <c r="G24" s="43" t="s">
        <v>495</v>
      </c>
      <c r="H24" s="57"/>
      <c r="I24" s="57"/>
      <c r="J24" s="57"/>
      <c r="K24" s="57">
        <v>0</v>
      </c>
      <c r="L24" s="57">
        <v>0</v>
      </c>
      <c r="M24" s="57"/>
      <c r="N24" s="57"/>
      <c r="O24" s="57">
        <v>-500</v>
      </c>
      <c r="P24" s="56">
        <v>-12945</v>
      </c>
    </row>
    <row r="25" spans="2:16" x14ac:dyDescent="0.45">
      <c r="B25" s="47">
        <v>45264</v>
      </c>
      <c r="C25" s="43"/>
      <c r="D25" s="43"/>
      <c r="E25" s="43"/>
      <c r="F25" s="43" t="s">
        <v>490</v>
      </c>
      <c r="G25" s="43" t="s">
        <v>495</v>
      </c>
      <c r="H25" s="57"/>
      <c r="I25" s="57"/>
      <c r="J25" s="57"/>
      <c r="K25" s="57">
        <v>0</v>
      </c>
      <c r="L25" s="57">
        <v>0</v>
      </c>
      <c r="M25" s="57"/>
      <c r="N25" s="57"/>
      <c r="O25" s="57">
        <v>-500</v>
      </c>
      <c r="P25" s="56">
        <v>-13445</v>
      </c>
    </row>
    <row r="26" spans="2:16" x14ac:dyDescent="0.45">
      <c r="B26" s="47">
        <v>45272</v>
      </c>
      <c r="C26" s="43"/>
      <c r="D26" s="43"/>
      <c r="E26" s="43"/>
      <c r="F26" s="43" t="s">
        <v>490</v>
      </c>
      <c r="G26" s="43" t="s">
        <v>495</v>
      </c>
      <c r="H26" s="57"/>
      <c r="I26" s="57"/>
      <c r="J26" s="57"/>
      <c r="K26" s="57">
        <v>0</v>
      </c>
      <c r="L26" s="57">
        <v>0</v>
      </c>
      <c r="M26" s="57"/>
      <c r="N26" s="57"/>
      <c r="O26" s="57">
        <v>-300</v>
      </c>
      <c r="P26" s="56">
        <v>-13745</v>
      </c>
    </row>
    <row r="27" spans="2:16" ht="36" x14ac:dyDescent="0.45">
      <c r="B27" s="47"/>
      <c r="C27" s="43"/>
      <c r="D27" s="43"/>
      <c r="E27" s="43"/>
      <c r="F27" s="43" t="s">
        <v>490</v>
      </c>
      <c r="G27" s="43" t="s">
        <v>496</v>
      </c>
      <c r="H27" s="57">
        <v>3500</v>
      </c>
      <c r="I27" s="57">
        <v>25</v>
      </c>
      <c r="J27" s="57"/>
      <c r="K27" s="57">
        <v>700</v>
      </c>
      <c r="L27" s="57">
        <v>175</v>
      </c>
      <c r="M27" s="57"/>
      <c r="N27" s="57"/>
      <c r="O27" s="57">
        <v>-200</v>
      </c>
      <c r="P27" s="56">
        <v>-13245</v>
      </c>
    </row>
    <row r="28" spans="2:16" x14ac:dyDescent="0.45">
      <c r="B28" s="47">
        <v>45295</v>
      </c>
      <c r="C28" s="43"/>
      <c r="D28" s="43"/>
      <c r="E28" s="43"/>
      <c r="F28" s="43" t="s">
        <v>490</v>
      </c>
      <c r="G28" s="43" t="s">
        <v>491</v>
      </c>
      <c r="H28" s="57"/>
      <c r="I28" s="57"/>
      <c r="J28" s="57"/>
      <c r="K28" s="57">
        <v>0</v>
      </c>
      <c r="L28" s="57">
        <v>0</v>
      </c>
      <c r="M28" s="57"/>
      <c r="N28" s="57"/>
      <c r="O28" s="57">
        <v>-1000</v>
      </c>
      <c r="P28" s="56">
        <v>-14245</v>
      </c>
    </row>
    <row r="29" spans="2:16" ht="36" x14ac:dyDescent="0.45">
      <c r="B29" s="47">
        <v>45328</v>
      </c>
      <c r="C29" s="43"/>
      <c r="D29" s="43"/>
      <c r="E29" s="43"/>
      <c r="F29" s="43" t="s">
        <v>490</v>
      </c>
      <c r="G29" s="43" t="s">
        <v>497</v>
      </c>
      <c r="H29" s="57"/>
      <c r="I29" s="57"/>
      <c r="J29" s="57"/>
      <c r="K29" s="57"/>
      <c r="L29" s="57"/>
      <c r="M29" s="57"/>
      <c r="N29" s="57"/>
      <c r="O29" s="57">
        <v>-500</v>
      </c>
      <c r="P29" s="56">
        <v>-14745</v>
      </c>
    </row>
    <row r="30" spans="2:16" x14ac:dyDescent="0.45">
      <c r="B30" s="47">
        <v>45355</v>
      </c>
      <c r="C30" s="43"/>
      <c r="D30" s="43"/>
      <c r="E30" s="43"/>
      <c r="F30" s="43" t="s">
        <v>490</v>
      </c>
      <c r="G30" s="43" t="s">
        <v>491</v>
      </c>
      <c r="H30" s="57"/>
      <c r="I30" s="57"/>
      <c r="J30" s="57"/>
      <c r="K30" s="57"/>
      <c r="L30" s="57"/>
      <c r="M30" s="57"/>
      <c r="N30" s="57"/>
      <c r="O30" s="57">
        <v>-500</v>
      </c>
      <c r="P30" s="56">
        <v>-15245</v>
      </c>
    </row>
    <row r="31" spans="2:16" x14ac:dyDescent="0.45">
      <c r="B31" s="47">
        <v>45380</v>
      </c>
      <c r="C31" s="43"/>
      <c r="D31" s="43"/>
      <c r="E31" s="43"/>
      <c r="F31" s="43" t="s">
        <v>490</v>
      </c>
      <c r="G31" s="43" t="s">
        <v>491</v>
      </c>
      <c r="H31" s="57"/>
      <c r="I31" s="57"/>
      <c r="J31" s="57"/>
      <c r="K31" s="57"/>
      <c r="L31" s="57"/>
      <c r="M31" s="57"/>
      <c r="N31" s="57"/>
      <c r="O31" s="57">
        <v>-500</v>
      </c>
      <c r="P31" s="56">
        <v>-15745</v>
      </c>
    </row>
    <row r="32" spans="2:16" ht="54.75" thickBot="1" x14ac:dyDescent="0.5">
      <c r="B32" s="53">
        <v>45051</v>
      </c>
      <c r="C32" s="54"/>
      <c r="D32" s="54"/>
      <c r="E32" s="54"/>
      <c r="F32" s="54" t="s">
        <v>498</v>
      </c>
      <c r="G32" s="54" t="s">
        <v>499</v>
      </c>
      <c r="H32" s="58">
        <v>6500</v>
      </c>
      <c r="I32" s="58"/>
      <c r="J32" s="58"/>
      <c r="K32" s="58"/>
      <c r="L32" s="58">
        <v>500</v>
      </c>
      <c r="M32" s="58"/>
      <c r="N32" s="58">
        <v>-6000</v>
      </c>
      <c r="O32" s="58">
        <v>-6000</v>
      </c>
      <c r="P32" s="56">
        <f>+P31</f>
        <v>-15745</v>
      </c>
    </row>
    <row r="33" spans="2:16" ht="18.75" thickBot="1" x14ac:dyDescent="0.5">
      <c r="B33" s="22"/>
      <c r="C33" s="23"/>
      <c r="D33" s="23"/>
      <c r="E33" s="23"/>
      <c r="F33" s="23"/>
      <c r="G33" s="34" t="s">
        <v>356</v>
      </c>
      <c r="H33" s="35">
        <f>SUBTOTAL(109,Table13471516[Valor de la Factura del Cliente])</f>
        <v>15000</v>
      </c>
      <c r="I33" s="35">
        <f>SUBTOTAL(109,Table13471516[Cargos Bancarios])</f>
        <v>25</v>
      </c>
      <c r="J33" s="35"/>
      <c r="K33" s="35">
        <f>SUBTOTAL(109,Table13471516[20% Comisión])</f>
        <v>1700</v>
      </c>
      <c r="L33" s="35">
        <f>SUBTOTAL(109,Table13471516[5% Legal])</f>
        <v>925</v>
      </c>
      <c r="M33" s="35">
        <f>SUBTOTAL(109,Table13471516[Retención de Impuestos])</f>
        <v>0</v>
      </c>
      <c r="N33" s="35">
        <f>SUBTOTAL(109,Table13471516[Pagado por MVPX])</f>
        <v>-7875</v>
      </c>
      <c r="O33" s="35">
        <f>SUBTOTAL(109,Table13471516[Avance])</f>
        <v>-23445</v>
      </c>
      <c r="P33" s="36">
        <f>+P32</f>
        <v>-15745</v>
      </c>
    </row>
    <row r="34" spans="2:16" x14ac:dyDescent="0.45">
      <c r="P34" s="51" t="s">
        <v>128</v>
      </c>
    </row>
  </sheetData>
  <mergeCells count="1">
    <mergeCell ref="B7:P7"/>
  </mergeCells>
  <printOptions horizontalCentered="1"/>
  <pageMargins left="0.25" right="0.25" top="0.75" bottom="0.75" header="0.3" footer="0.3"/>
  <pageSetup scale="48" fitToHeight="0" orientation="landscape" r:id="rId1"/>
  <headerFooter>
    <oddHeader xml:space="preserve">&amp;L&amp;9&amp;G
&amp;R66-0928468
admin@mvpxmusic.com
Tel Ofi: 787-761-9125
</oddHeader>
    <oddFooter>&amp;LPublisher: Most Valuable Player X (BMI)
IPI: 01031373209&amp;CPage &amp;P of 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Base de datos</vt:lpstr>
      <vt:lpstr>MODELO</vt:lpstr>
      <vt:lpstr>Jeidi</vt:lpstr>
      <vt:lpstr>Cesa Dajoy</vt:lpstr>
      <vt:lpstr>ReneDaSilva</vt:lpstr>
      <vt:lpstr>Jaime Hospedales</vt:lpstr>
      <vt:lpstr>William Arteaga</vt:lpstr>
      <vt:lpstr>JayRozz</vt:lpstr>
      <vt:lpstr>Marval</vt:lpstr>
      <vt:lpstr>Dimelo Super</vt:lpstr>
      <vt:lpstr>Samuel Velazquez</vt:lpstr>
      <vt:lpstr>Alex Nuñez</vt:lpstr>
      <vt:lpstr>Divino</vt:lpstr>
      <vt:lpstr>LANALIZER</vt:lpstr>
      <vt:lpstr>SXNTHI</vt:lpstr>
      <vt:lpstr>GianBeat</vt:lpstr>
      <vt:lpstr>Carlos Manuel Jr. Agosto</vt:lpstr>
      <vt:lpstr>MozartMuzik</vt:lpstr>
      <vt:lpstr>HACHE</vt:lpstr>
      <vt:lpstr>Borngud</vt:lpstr>
      <vt:lpstr>Johan Strauss</vt:lpstr>
      <vt:lpstr>Dayan</vt:lpstr>
      <vt:lpstr>ErickAnt</vt:lpstr>
      <vt:lpstr>V1FRO</vt:lpstr>
      <vt:lpstr>ECBY</vt:lpstr>
      <vt:lpstr>Saint LL</vt:lpstr>
      <vt:lpstr>Cesar Da 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Lopez</dc:creator>
  <cp:lastModifiedBy>Raul Lopez</cp:lastModifiedBy>
  <cp:lastPrinted>2025-10-31T16:13:55Z</cp:lastPrinted>
  <dcterms:created xsi:type="dcterms:W3CDTF">2025-10-22T13:47:50Z</dcterms:created>
  <dcterms:modified xsi:type="dcterms:W3CDTF">2025-11-03T13:17:31Z</dcterms:modified>
</cp:coreProperties>
</file>